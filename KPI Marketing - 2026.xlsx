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ELETRO\Documents\MAIS SOL\Análise do SDR\"/>
    </mc:Choice>
  </mc:AlternateContent>
  <xr:revisionPtr revIDLastSave="0" documentId="13_ncr:1_{75956EC7-BB10-41E3-8967-0DF153850502}" xr6:coauthVersionLast="47" xr6:coauthVersionMax="47" xr10:uidLastSave="{00000000-0000-0000-0000-000000000000}"/>
  <bookViews>
    <workbookView xWindow="-120" yWindow="-120" windowWidth="29040" windowHeight="15720" activeTab="1" xr2:uid="{1C061F2A-E355-E943-94A2-2D587AD0D841}"/>
  </bookViews>
  <sheets>
    <sheet name="METAS 2026" sheetId="4" r:id="rId1"/>
    <sheet name="SDR" sheetId="1" r:id="rId2"/>
    <sheet name="DEZ.202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F5" i="1" l="1"/>
  <c r="BO5" i="1" s="1"/>
  <c r="CF6" i="1"/>
  <c r="CF7" i="1"/>
  <c r="CF15" i="1" s="1"/>
  <c r="BQ17" i="1"/>
  <c r="BR17" i="1"/>
  <c r="BS17" i="1"/>
  <c r="BT17" i="1"/>
  <c r="BU17" i="1"/>
  <c r="BV17" i="1"/>
  <c r="BW17" i="1"/>
  <c r="BQ10" i="1"/>
  <c r="BR10" i="1"/>
  <c r="BS10" i="1"/>
  <c r="BT10" i="1"/>
  <c r="BU10" i="1"/>
  <c r="BV10" i="1"/>
  <c r="BW10" i="1"/>
  <c r="BX10" i="1"/>
  <c r="BX9" i="1"/>
  <c r="BW9" i="1" s="1"/>
  <c r="BV9" i="1" s="1"/>
  <c r="BU9" i="1" s="1"/>
  <c r="BT9" i="1" s="1"/>
  <c r="BS9" i="1" s="1"/>
  <c r="BR9" i="1" s="1"/>
  <c r="BQ9" i="1" s="1"/>
  <c r="BP9" i="1" s="1"/>
  <c r="CC10" i="1"/>
  <c r="BY10" i="1"/>
  <c r="BZ10" i="1"/>
  <c r="CA10" i="1"/>
  <c r="CB10" i="1"/>
  <c r="CD10" i="1"/>
  <c r="CE10" i="1"/>
  <c r="CH10" i="1"/>
  <c r="CI10" i="1"/>
  <c r="CJ10" i="1"/>
  <c r="CK10" i="1"/>
  <c r="CL10" i="1"/>
  <c r="CM10" i="1"/>
  <c r="CH13" i="1"/>
  <c r="CI13" i="1"/>
  <c r="CJ13" i="1"/>
  <c r="CK13" i="1"/>
  <c r="CL13" i="1"/>
  <c r="CM13" i="1"/>
  <c r="CH14" i="1"/>
  <c r="CI14" i="1"/>
  <c r="CJ14" i="1"/>
  <c r="CK14" i="1"/>
  <c r="CL14" i="1"/>
  <c r="CM14" i="1"/>
  <c r="CH15" i="1"/>
  <c r="CI15" i="1"/>
  <c r="CJ15" i="1"/>
  <c r="CK15" i="1"/>
  <c r="CL15" i="1"/>
  <c r="CM15" i="1"/>
  <c r="CG15" i="1"/>
  <c r="CG14" i="1"/>
  <c r="CG13" i="1"/>
  <c r="CG10" i="1"/>
  <c r="BX7" i="1"/>
  <c r="BX6" i="1"/>
  <c r="BX5" i="1"/>
  <c r="BP7" i="1"/>
  <c r="CE15" i="1"/>
  <c r="CE14" i="1"/>
  <c r="CE13" i="1"/>
  <c r="BY13" i="1"/>
  <c r="BZ13" i="1"/>
  <c r="CA13" i="1"/>
  <c r="CB13" i="1"/>
  <c r="CC13" i="1"/>
  <c r="CD13" i="1"/>
  <c r="BY14" i="1"/>
  <c r="BZ14" i="1"/>
  <c r="CA14" i="1"/>
  <c r="CB14" i="1"/>
  <c r="CC14" i="1"/>
  <c r="CD14" i="1"/>
  <c r="BY15" i="1"/>
  <c r="BZ15" i="1"/>
  <c r="CA15" i="1"/>
  <c r="CB15" i="1"/>
  <c r="CC15" i="1"/>
  <c r="CD15" i="1"/>
  <c r="AP7" i="1"/>
  <c r="AP6" i="1"/>
  <c r="AP12" i="1"/>
  <c r="AK12" i="1"/>
  <c r="AL12" i="1"/>
  <c r="AM12" i="1"/>
  <c r="AN12" i="1"/>
  <c r="AO12" i="1"/>
  <c r="AJ12" i="1"/>
  <c r="AY12" i="1"/>
  <c r="CN15" i="1"/>
  <c r="BW15" i="1"/>
  <c r="BV15" i="1"/>
  <c r="BU15" i="1"/>
  <c r="BT15" i="1"/>
  <c r="BS15" i="1"/>
  <c r="BR15" i="1"/>
  <c r="BQ15" i="1"/>
  <c r="CN14" i="1"/>
  <c r="BW14" i="1"/>
  <c r="BV14" i="1"/>
  <c r="BU14" i="1"/>
  <c r="BT14" i="1"/>
  <c r="BS14" i="1"/>
  <c r="BR14" i="1"/>
  <c r="BQ14" i="1"/>
  <c r="CN13" i="1"/>
  <c r="BW13" i="1"/>
  <c r="BV13" i="1"/>
  <c r="BU13" i="1"/>
  <c r="BT13" i="1"/>
  <c r="BS13" i="1"/>
  <c r="BR13" i="1"/>
  <c r="BQ13" i="1"/>
  <c r="BP8" i="1"/>
  <c r="BP6" i="1"/>
  <c r="BP5" i="1"/>
  <c r="BG7" i="1"/>
  <c r="BG15" i="1" s="1"/>
  <c r="BG6" i="1"/>
  <c r="BG5" i="1"/>
  <c r="BG17" i="1" s="1"/>
  <c r="BO12" i="1"/>
  <c r="BN17" i="1"/>
  <c r="BM17" i="1"/>
  <c r="BL17" i="1"/>
  <c r="BK17" i="1"/>
  <c r="BJ17" i="1"/>
  <c r="BI17" i="1"/>
  <c r="BH17" i="1"/>
  <c r="BN15" i="1"/>
  <c r="BM15" i="1"/>
  <c r="BL15" i="1"/>
  <c r="BK15" i="1"/>
  <c r="BJ15" i="1"/>
  <c r="BI15" i="1"/>
  <c r="BH15" i="1"/>
  <c r="BN14" i="1"/>
  <c r="BM14" i="1"/>
  <c r="BL14" i="1"/>
  <c r="BK14" i="1"/>
  <c r="BJ14" i="1"/>
  <c r="BI14" i="1"/>
  <c r="BH14" i="1"/>
  <c r="BN13" i="1"/>
  <c r="BM13" i="1"/>
  <c r="BL13" i="1"/>
  <c r="BK13" i="1"/>
  <c r="BJ13" i="1"/>
  <c r="BI13" i="1"/>
  <c r="BH13" i="1"/>
  <c r="BN12" i="1"/>
  <c r="BM12" i="1"/>
  <c r="BL12" i="1"/>
  <c r="BK12" i="1"/>
  <c r="BJ12" i="1"/>
  <c r="BI12" i="1"/>
  <c r="BH12" i="1"/>
  <c r="BN10" i="1"/>
  <c r="BN11" i="1" s="1"/>
  <c r="BM10" i="1"/>
  <c r="BM11" i="1" s="1"/>
  <c r="BL10" i="1"/>
  <c r="BL11" i="1" s="1"/>
  <c r="BK10" i="1"/>
  <c r="BK11" i="1" s="1"/>
  <c r="BJ10" i="1"/>
  <c r="BJ11" i="1" s="1"/>
  <c r="BI10" i="1"/>
  <c r="BI11" i="1" s="1"/>
  <c r="BH10" i="1"/>
  <c r="BH11" i="1" s="1"/>
  <c r="AJ19" i="1"/>
  <c r="AJ15" i="1"/>
  <c r="AY5" i="1"/>
  <c r="AY7" i="1"/>
  <c r="AY15" i="1" s="1"/>
  <c r="AY6" i="1"/>
  <c r="BF17" i="1"/>
  <c r="BF15" i="1"/>
  <c r="BF14" i="1"/>
  <c r="BF13" i="1"/>
  <c r="BF12" i="1"/>
  <c r="BF10" i="1"/>
  <c r="BF11" i="1" s="1"/>
  <c r="BE17" i="1"/>
  <c r="BE15" i="1"/>
  <c r="BE14" i="1"/>
  <c r="BE13" i="1"/>
  <c r="BE12" i="1"/>
  <c r="BE10" i="1"/>
  <c r="BE11" i="1" s="1"/>
  <c r="BD17" i="1"/>
  <c r="BD15" i="1"/>
  <c r="BD14" i="1"/>
  <c r="BD13" i="1"/>
  <c r="BD12" i="1"/>
  <c r="BD10" i="1"/>
  <c r="BD11" i="1" s="1"/>
  <c r="BC17" i="1"/>
  <c r="BC15" i="1"/>
  <c r="BC14" i="1"/>
  <c r="BC13" i="1"/>
  <c r="BC12" i="1"/>
  <c r="BC10" i="1"/>
  <c r="BC11" i="1" s="1"/>
  <c r="BA17" i="1"/>
  <c r="BA15" i="1"/>
  <c r="BA14" i="1"/>
  <c r="BA13" i="1"/>
  <c r="BA12" i="1"/>
  <c r="BA10" i="1"/>
  <c r="BA11" i="1" s="1"/>
  <c r="AZ17" i="1"/>
  <c r="AZ15" i="1"/>
  <c r="AZ14" i="1"/>
  <c r="AZ13" i="1"/>
  <c r="AZ12" i="1"/>
  <c r="AZ10" i="1"/>
  <c r="AZ11" i="1" s="1"/>
  <c r="BG12" i="1"/>
  <c r="AX17" i="1"/>
  <c r="AX15" i="1"/>
  <c r="AX14" i="1"/>
  <c r="AX13" i="1"/>
  <c r="AX12" i="1"/>
  <c r="AX10" i="1"/>
  <c r="AX11" i="1" s="1"/>
  <c r="AW17" i="1"/>
  <c r="AW15" i="1"/>
  <c r="AW14" i="1"/>
  <c r="AW13" i="1"/>
  <c r="AW12" i="1"/>
  <c r="AW10" i="1"/>
  <c r="AW11" i="1" s="1"/>
  <c r="BB10" i="1"/>
  <c r="BB11" i="1" s="1"/>
  <c r="BB12" i="1"/>
  <c r="BB13" i="1"/>
  <c r="BB14" i="1"/>
  <c r="BB15" i="1"/>
  <c r="BB17" i="1"/>
  <c r="AU17" i="1"/>
  <c r="AU15" i="1"/>
  <c r="AU14" i="1"/>
  <c r="AU13" i="1"/>
  <c r="AU12" i="1"/>
  <c r="AU10" i="1"/>
  <c r="AU11" i="1" s="1"/>
  <c r="AV10" i="1"/>
  <c r="AV11" i="1" s="1"/>
  <c r="AV12" i="1"/>
  <c r="AV13" i="1"/>
  <c r="AV14" i="1"/>
  <c r="AV15" i="1"/>
  <c r="AV17" i="1"/>
  <c r="AT10" i="1"/>
  <c r="AT11" i="1" s="1"/>
  <c r="AT12" i="1"/>
  <c r="AT13" i="1"/>
  <c r="AT14" i="1"/>
  <c r="AT15" i="1"/>
  <c r="AT17" i="1"/>
  <c r="AQ10" i="1"/>
  <c r="AQ11" i="1" s="1"/>
  <c r="AR10" i="1"/>
  <c r="AR11" i="1" s="1"/>
  <c r="AS10" i="1"/>
  <c r="AS11" i="1" s="1"/>
  <c r="AQ12" i="1"/>
  <c r="AR12" i="1"/>
  <c r="AS12" i="1"/>
  <c r="AQ17" i="1"/>
  <c r="AR17" i="1"/>
  <c r="AS17" i="1"/>
  <c r="AQ13" i="1"/>
  <c r="AR13" i="1"/>
  <c r="AS13" i="1"/>
  <c r="AQ14" i="1"/>
  <c r="AR14" i="1"/>
  <c r="AS14" i="1"/>
  <c r="AQ15" i="1"/>
  <c r="AR15" i="1"/>
  <c r="AS15" i="1"/>
  <c r="CF10" i="1" l="1"/>
  <c r="CF13" i="1"/>
  <c r="CF14" i="1"/>
  <c r="BO17" i="1"/>
  <c r="BX13" i="1"/>
  <c r="BX14" i="1"/>
  <c r="BO6" i="1"/>
  <c r="BX15" i="1"/>
  <c r="BO7" i="1"/>
  <c r="BO15" i="1" s="1"/>
  <c r="BP10" i="1"/>
  <c r="BP15" i="1"/>
  <c r="BP14" i="1"/>
  <c r="BP13" i="1"/>
  <c r="AP10" i="1"/>
  <c r="AP11" i="1" s="1"/>
  <c r="BG10" i="1"/>
  <c r="BG11" i="1" s="1"/>
  <c r="BG14" i="1"/>
  <c r="BG13" i="1"/>
  <c r="AY17" i="1"/>
  <c r="AY14" i="1"/>
  <c r="AY13" i="1"/>
  <c r="AY10" i="1"/>
  <c r="AY11" i="1" s="1"/>
  <c r="AI10" i="1"/>
  <c r="AI11" i="1" s="1"/>
  <c r="AI12" i="1"/>
  <c r="AI13" i="1"/>
  <c r="AI14" i="1"/>
  <c r="AI15" i="1"/>
  <c r="AI17" i="1"/>
  <c r="AK10" i="1"/>
  <c r="AK11" i="1" s="1"/>
  <c r="AL10" i="1"/>
  <c r="AL11" i="1" s="1"/>
  <c r="AM10" i="1"/>
  <c r="AM11" i="1" s="1"/>
  <c r="AN10" i="1"/>
  <c r="AN11" i="1" s="1"/>
  <c r="AO10" i="1"/>
  <c r="AO11" i="1" s="1"/>
  <c r="AK13" i="1"/>
  <c r="AL13" i="1"/>
  <c r="AM13" i="1"/>
  <c r="AN13" i="1"/>
  <c r="AO13" i="1"/>
  <c r="AK14" i="1"/>
  <c r="AL14" i="1"/>
  <c r="AM14" i="1"/>
  <c r="AN14" i="1"/>
  <c r="AO14" i="1"/>
  <c r="AK15" i="1"/>
  <c r="AL15" i="1"/>
  <c r="AM15" i="1"/>
  <c r="AN15" i="1"/>
  <c r="AO15" i="1"/>
  <c r="AK17" i="1"/>
  <c r="AL17" i="1"/>
  <c r="AM17" i="1"/>
  <c r="AN17" i="1"/>
  <c r="AO17" i="1"/>
  <c r="AJ17" i="1"/>
  <c r="AJ14" i="1"/>
  <c r="AJ13" i="1"/>
  <c r="AJ10" i="1"/>
  <c r="AJ11" i="1" s="1"/>
  <c r="BO14" i="1" l="1"/>
  <c r="BO13" i="1"/>
  <c r="BO10" i="1"/>
  <c r="BO11" i="1" s="1"/>
  <c r="AP15" i="1"/>
  <c r="AP17" i="1"/>
  <c r="AP13" i="1"/>
  <c r="AP14" i="1"/>
  <c r="AH10" i="1"/>
  <c r="AH11" i="1" s="1"/>
  <c r="AH12" i="1"/>
  <c r="AH13" i="1"/>
  <c r="AH14" i="1"/>
  <c r="AH15" i="1"/>
  <c r="AH17" i="1"/>
  <c r="AC9" i="1" l="1"/>
  <c r="AG17" i="1" l="1"/>
  <c r="AG15" i="1"/>
  <c r="AG14" i="1"/>
  <c r="AG13" i="1"/>
  <c r="AG12" i="1"/>
  <c r="AG10" i="1"/>
  <c r="AG11" i="1" s="1"/>
  <c r="AF17" i="1" l="1"/>
  <c r="AF15" i="1"/>
  <c r="AF14" i="1"/>
  <c r="AF13" i="1"/>
  <c r="AF12" i="1"/>
  <c r="AF10" i="1"/>
  <c r="AF11" i="1" s="1"/>
  <c r="AE17" i="1"/>
  <c r="AE15" i="1"/>
  <c r="AE14" i="1"/>
  <c r="AE13" i="1"/>
  <c r="AE12" i="1"/>
  <c r="AE10" i="1"/>
  <c r="AE11" i="1" s="1"/>
  <c r="AD17" i="1"/>
  <c r="AD15" i="1"/>
  <c r="AD14" i="1"/>
  <c r="AD13" i="1"/>
  <c r="AD12" i="1"/>
  <c r="AD10" i="1"/>
  <c r="AD11" i="1" s="1"/>
  <c r="AC17" i="1" l="1"/>
  <c r="AC15" i="1"/>
  <c r="AC14" i="1"/>
  <c r="AC13" i="1"/>
  <c r="AC12" i="1"/>
  <c r="AC10" i="1"/>
  <c r="AC11" i="1" s="1"/>
  <c r="R12" i="1"/>
  <c r="S12" i="1"/>
  <c r="T12" i="1"/>
  <c r="U12" i="1"/>
  <c r="V12" i="1"/>
  <c r="W12" i="1"/>
  <c r="AB17" i="1"/>
  <c r="AB15" i="1"/>
  <c r="AB14" i="1"/>
  <c r="AB13" i="1"/>
  <c r="AB12" i="1"/>
  <c r="AB10" i="1"/>
  <c r="AB11" i="1" s="1"/>
  <c r="AA17" i="1"/>
  <c r="AA15" i="1"/>
  <c r="AA14" i="1"/>
  <c r="AA13" i="1"/>
  <c r="AA12" i="1"/>
  <c r="AA10" i="1"/>
  <c r="AA11" i="1" s="1"/>
  <c r="Z17" i="1"/>
  <c r="Z15" i="1"/>
  <c r="Z14" i="1"/>
  <c r="Z13" i="1"/>
  <c r="Z12" i="1"/>
  <c r="Z10" i="1"/>
  <c r="Z11" i="1" s="1"/>
  <c r="Y17" i="1"/>
  <c r="Y15" i="1"/>
  <c r="Y14" i="1"/>
  <c r="Y13" i="1"/>
  <c r="Y12" i="1"/>
  <c r="Y10" i="1"/>
  <c r="Y11" i="1" s="1"/>
  <c r="X17" i="1"/>
  <c r="X15" i="1"/>
  <c r="X14" i="1"/>
  <c r="X13" i="1"/>
  <c r="X12" i="1"/>
  <c r="X10" i="1"/>
  <c r="X11" i="1" s="1"/>
  <c r="W17" i="1" l="1"/>
  <c r="W15" i="1"/>
  <c r="W14" i="1"/>
  <c r="W13" i="1"/>
  <c r="W10" i="1"/>
  <c r="W11" i="1" s="1"/>
  <c r="V17" i="1"/>
  <c r="V15" i="1"/>
  <c r="V14" i="1"/>
  <c r="V13" i="1"/>
  <c r="V10" i="1"/>
  <c r="V11" i="1" s="1"/>
  <c r="U17" i="1"/>
  <c r="U15" i="1"/>
  <c r="U14" i="1"/>
  <c r="U13" i="1"/>
  <c r="U10" i="1"/>
  <c r="U11" i="1" s="1"/>
  <c r="T17" i="1"/>
  <c r="T15" i="1"/>
  <c r="T14" i="1"/>
  <c r="T13" i="1"/>
  <c r="T10" i="1"/>
  <c r="T11" i="1" s="1"/>
  <c r="S17" i="1"/>
  <c r="S15" i="1"/>
  <c r="S14" i="1"/>
  <c r="S13" i="1"/>
  <c r="S10" i="1"/>
  <c r="S11" i="1" s="1"/>
  <c r="R17" i="1"/>
  <c r="R15" i="1"/>
  <c r="R14" i="1"/>
  <c r="R13" i="1"/>
  <c r="R10" i="1"/>
  <c r="R11" i="1" s="1"/>
  <c r="O10" i="1" l="1"/>
  <c r="O11" i="1" s="1"/>
  <c r="P10" i="1"/>
  <c r="P11" i="1" s="1"/>
  <c r="O12" i="1"/>
  <c r="P12" i="1"/>
  <c r="O13" i="1"/>
  <c r="P13" i="1"/>
  <c r="O14" i="1"/>
  <c r="P14" i="1"/>
  <c r="O15" i="1"/>
  <c r="P15" i="1"/>
  <c r="O17" i="1"/>
  <c r="P17" i="1"/>
  <c r="J10" i="1"/>
  <c r="J11" i="1" s="1"/>
  <c r="K10" i="1"/>
  <c r="K11" i="1" s="1"/>
  <c r="L10" i="1"/>
  <c r="L11" i="1" s="1"/>
  <c r="J12" i="1"/>
  <c r="K12" i="1"/>
  <c r="L12" i="1"/>
  <c r="J13" i="1"/>
  <c r="K13" i="1"/>
  <c r="L13" i="1"/>
  <c r="J14" i="1"/>
  <c r="K14" i="1"/>
  <c r="L14" i="1"/>
  <c r="J15" i="1"/>
  <c r="K15" i="1"/>
  <c r="L15" i="1"/>
  <c r="J17" i="1"/>
  <c r="K17" i="1"/>
  <c r="L17" i="1"/>
  <c r="N10" i="1"/>
  <c r="N11" i="1" s="1"/>
  <c r="Q10" i="1"/>
  <c r="Q11" i="1" s="1"/>
  <c r="N12" i="1"/>
  <c r="Q12" i="1"/>
  <c r="N13" i="1"/>
  <c r="Q13" i="1"/>
  <c r="N14" i="1"/>
  <c r="Q14" i="1"/>
  <c r="N15" i="1"/>
  <c r="Q15" i="1"/>
  <c r="N17" i="1"/>
  <c r="Q17" i="1"/>
  <c r="I12" i="1" l="1"/>
  <c r="M10" i="1"/>
  <c r="M11" i="1" s="1"/>
  <c r="M17" i="1"/>
  <c r="F12" i="1"/>
  <c r="M12" i="1"/>
  <c r="B12" i="1" l="1"/>
  <c r="C12" i="1"/>
  <c r="D12" i="1"/>
  <c r="E12" i="1"/>
  <c r="M1" i="1" l="1"/>
  <c r="H12" i="1"/>
  <c r="G12" i="1"/>
  <c r="M15" i="1"/>
  <c r="M14" i="1"/>
  <c r="M13" i="1"/>
  <c r="I10" i="1" l="1"/>
  <c r="I11" i="1" s="1"/>
  <c r="I17" i="1"/>
  <c r="I15" i="1"/>
  <c r="I14" i="1"/>
  <c r="I13" i="1"/>
  <c r="C10" i="1" l="1"/>
  <c r="C11" i="1" s="1"/>
  <c r="D10" i="1"/>
  <c r="D11" i="1" s="1"/>
  <c r="E10" i="1"/>
  <c r="E11" i="1" s="1"/>
  <c r="F10" i="1"/>
  <c r="F11" i="1" s="1"/>
  <c r="G10" i="1"/>
  <c r="G11" i="1" s="1"/>
  <c r="H10" i="1"/>
  <c r="H11" i="1" s="1"/>
  <c r="B10" i="1"/>
  <c r="B11" i="1" s="1"/>
  <c r="C13" i="1" l="1"/>
  <c r="D13" i="1"/>
  <c r="E13" i="1"/>
  <c r="F13" i="1"/>
  <c r="G13" i="1"/>
  <c r="H13" i="1"/>
  <c r="B14" i="1"/>
  <c r="B15" i="1"/>
  <c r="B13" i="1"/>
  <c r="H17" i="1" l="1"/>
  <c r="H15" i="1"/>
  <c r="H14" i="1"/>
  <c r="G15" i="1"/>
  <c r="G14" i="1"/>
  <c r="F15" i="1"/>
  <c r="F14" i="1"/>
  <c r="E15" i="1" l="1"/>
  <c r="E14" i="1"/>
  <c r="D15" i="1"/>
  <c r="C15" i="1"/>
  <c r="D14" i="1"/>
  <c r="C14" i="1"/>
</calcChain>
</file>

<file path=xl/sharedStrings.xml><?xml version="1.0" encoding="utf-8"?>
<sst xmlns="http://schemas.openxmlformats.org/spreadsheetml/2006/main" count="157" uniqueCount="103">
  <si>
    <t>Numero de Leads</t>
  </si>
  <si>
    <t>Conversão Proposta Vs Venda</t>
  </si>
  <si>
    <t>Leads SunMKT</t>
  </si>
  <si>
    <t>Custo por lead</t>
  </si>
  <si>
    <t>Custo mensal</t>
  </si>
  <si>
    <t xml:space="preserve">Conversão Leads Vs Proposta </t>
  </si>
  <si>
    <t>Número de Agendamentos (% de qualificação)</t>
  </si>
  <si>
    <t>Numero de Propostas (% de conversão)</t>
  </si>
  <si>
    <t>Numero de vendas (Fechamento)</t>
  </si>
  <si>
    <t>Conversão Leads Vs Agendamentos (% de qualificação)</t>
  </si>
  <si>
    <t>Numero de Propostas (DUPLICADAS)</t>
  </si>
  <si>
    <t>Última atualização:</t>
  </si>
  <si>
    <t>Somatório das Vendas (R$)</t>
  </si>
  <si>
    <t>Custo dos Leads (Número de Leads * Custo por Lead)</t>
  </si>
  <si>
    <t>Julho</t>
  </si>
  <si>
    <t>Dezembro</t>
  </si>
  <si>
    <t>Janeiro</t>
  </si>
  <si>
    <t>Fevereiro</t>
  </si>
  <si>
    <t>Março</t>
  </si>
  <si>
    <t>Abril</t>
  </si>
  <si>
    <t>Maio</t>
  </si>
  <si>
    <t>Junho</t>
  </si>
  <si>
    <t>Ticket Médio</t>
  </si>
  <si>
    <t>16/07 - 22/07</t>
  </si>
  <si>
    <t>Gasto com marketing / Valor de vendas</t>
  </si>
  <si>
    <t>23/07 - 31/07</t>
  </si>
  <si>
    <t>Agosto (01-06)</t>
  </si>
  <si>
    <t>Agosto (07-14)</t>
  </si>
  <si>
    <t>Agosto</t>
  </si>
  <si>
    <t>Agosto (15-23)</t>
  </si>
  <si>
    <t>Agosto (24-31)</t>
  </si>
  <si>
    <t>Setembro</t>
  </si>
  <si>
    <t>01/09 - 06/09</t>
  </si>
  <si>
    <t>07/09 - 13/09</t>
  </si>
  <si>
    <t>14/09 - 20/09</t>
  </si>
  <si>
    <t>21/09 -27/09</t>
  </si>
  <si>
    <t>28/09 -30/09</t>
  </si>
  <si>
    <t>Outubro</t>
  </si>
  <si>
    <t>01/10 - 04/10</t>
  </si>
  <si>
    <t>05/10 - 11/10</t>
  </si>
  <si>
    <t>12/10 - 18/10</t>
  </si>
  <si>
    <t>19/10 - 25/10</t>
  </si>
  <si>
    <t>26/10 - 31/10</t>
  </si>
  <si>
    <t>Novembro</t>
  </si>
  <si>
    <t>02/11 - 08/11</t>
  </si>
  <si>
    <t>09/11 - 15/11</t>
  </si>
  <si>
    <t>1ºSEMANA</t>
  </si>
  <si>
    <t>2ºSEMANA</t>
  </si>
  <si>
    <t>3ºSEMANA</t>
  </si>
  <si>
    <t>4ºSEMANA</t>
  </si>
  <si>
    <t>5ºSEMANA</t>
  </si>
  <si>
    <t>16/11 - 22/11</t>
  </si>
  <si>
    <t>23/11 - 29/11</t>
  </si>
  <si>
    <t>01/12 - 06/12</t>
  </si>
  <si>
    <t>07/12 - 13/12</t>
  </si>
  <si>
    <t>14/12 - 20/12</t>
  </si>
  <si>
    <t>21/12 - 27/12</t>
  </si>
  <si>
    <t>28/12 - 31/12</t>
  </si>
  <si>
    <t>Marcilio da Silva Ferreira</t>
  </si>
  <si>
    <t>Sun Marketing - Facebook</t>
  </si>
  <si>
    <t>Paulo Silva</t>
  </si>
  <si>
    <t>[CBO] [NATIVO] - Residencial 2</t>
  </si>
  <si>
    <t>Video. Script 07 - Fortaleza</t>
  </si>
  <si>
    <t>Geziel Ferreira dos Santos</t>
  </si>
  <si>
    <t>Sun Marketing - Instagram</t>
  </si>
  <si>
    <t>Claudenia Castro</t>
  </si>
  <si>
    <t>Sandrileuza Firmino Marques Magalhães</t>
  </si>
  <si>
    <t>Bruno Barbosa Stringheta</t>
  </si>
  <si>
    <t>Daniel Dienstman Damasceno Bezerra</t>
  </si>
  <si>
    <t>Fernando Gomes de Oliveira</t>
  </si>
  <si>
    <t>Cliente</t>
  </si>
  <si>
    <t>Origem do Processo</t>
  </si>
  <si>
    <t>Responsável</t>
  </si>
  <si>
    <t>Valor</t>
  </si>
  <si>
    <t>Data</t>
  </si>
  <si>
    <t>Campanha</t>
  </si>
  <si>
    <t>Anúncio</t>
  </si>
  <si>
    <t>Prefere</t>
  </si>
  <si>
    <t>Momento</t>
  </si>
  <si>
    <t>qualidade_</t>
  </si>
  <si>
    <t>daqui_a_2_meses</t>
  </si>
  <si>
    <t>preço_</t>
  </si>
  <si>
    <t>imediato_</t>
  </si>
  <si>
    <t>Video. Script 06 — Cópia</t>
  </si>
  <si>
    <t>Proposta/Venda</t>
  </si>
  <si>
    <t>Leads/Proposta</t>
  </si>
  <si>
    <t>Leads/Agendamentos</t>
  </si>
  <si>
    <t>01/01 - 03/01</t>
  </si>
  <si>
    <t>04/01 - 10/01</t>
  </si>
  <si>
    <t>11/01 - 17/01</t>
  </si>
  <si>
    <t>18/01 - 24/01</t>
  </si>
  <si>
    <t>25/01 - 31/01</t>
  </si>
  <si>
    <t>Metas SunMKT 2026</t>
  </si>
  <si>
    <t>08/01/2025 às 12:00h</t>
  </si>
  <si>
    <t>Fervereiro</t>
  </si>
  <si>
    <t>4°SEMANA</t>
  </si>
  <si>
    <t>01/02 - 07/02</t>
  </si>
  <si>
    <t>08/02 - 14/02</t>
  </si>
  <si>
    <t>15/02 - 21/02</t>
  </si>
  <si>
    <t>22/02 - 28/02</t>
  </si>
  <si>
    <t>C</t>
  </si>
  <si>
    <t>P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</si>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</sst>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&quot;\ #,##0.00"/>
    <numFmt numFmtId="165" formatCode="0.000%"/>
  </numFmts>
  <fonts count="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Aptos Narrow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86FB1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44" fontId="3" fillId="0" borderId="0" xfId="0" applyNumberFormat="1" applyFont="1"/>
    <xf numFmtId="0" fontId="0" fillId="0" borderId="0" xfId="0" applyAlignment="1">
      <alignment horizontal="center"/>
    </xf>
    <xf numFmtId="44" fontId="0" fillId="0" borderId="0" xfId="1" applyFont="1" applyBorder="1" applyAlignment="1">
      <alignment horizontal="center"/>
    </xf>
    <xf numFmtId="9" fontId="0" fillId="0" borderId="0" xfId="2" applyFont="1" applyBorder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64" fontId="0" fillId="0" borderId="0" xfId="1" applyNumberFormat="1" applyFont="1" applyBorder="1" applyAlignment="1">
      <alignment horizontal="center" vertical="center"/>
    </xf>
    <xf numFmtId="44" fontId="0" fillId="0" borderId="0" xfId="1" applyFont="1" applyFill="1" applyBorder="1" applyAlignment="1">
      <alignment horizontal="center"/>
    </xf>
    <xf numFmtId="44" fontId="0" fillId="0" borderId="0" xfId="1" applyFont="1" applyBorder="1"/>
    <xf numFmtId="44" fontId="0" fillId="0" borderId="0" xfId="1" applyFont="1" applyFill="1" applyBorder="1"/>
    <xf numFmtId="0" fontId="2" fillId="0" borderId="0" xfId="0" applyFont="1"/>
    <xf numFmtId="0" fontId="0" fillId="3" borderId="0" xfId="0" applyFill="1" applyAlignment="1">
      <alignment horizontal="left"/>
    </xf>
    <xf numFmtId="0" fontId="2" fillId="3" borderId="0" xfId="0" applyFont="1" applyFill="1" applyAlignment="1">
      <alignment horizontal="center"/>
    </xf>
    <xf numFmtId="16" fontId="2" fillId="3" borderId="0" xfId="0" applyNumberFormat="1" applyFont="1" applyFill="1" applyAlignment="1">
      <alignment horizontal="center"/>
    </xf>
    <xf numFmtId="10" fontId="0" fillId="4" borderId="0" xfId="2" applyNumberFormat="1" applyFont="1" applyFill="1" applyBorder="1" applyAlignment="1">
      <alignment horizontal="center"/>
    </xf>
    <xf numFmtId="0" fontId="3" fillId="0" borderId="0" xfId="0" applyFont="1"/>
    <xf numFmtId="14" fontId="0" fillId="0" borderId="3" xfId="0" applyNumberFormat="1" applyBorder="1" applyAlignment="1">
      <alignment horizontal="left"/>
    </xf>
    <xf numFmtId="0" fontId="2" fillId="0" borderId="4" xfId="0" applyFont="1" applyBorder="1"/>
    <xf numFmtId="0" fontId="5" fillId="5" borderId="0" xfId="0" applyFont="1" applyFill="1" applyAlignment="1">
      <alignment horizontal="left" vertical="center"/>
    </xf>
    <xf numFmtId="44" fontId="5" fillId="5" borderId="0" xfId="1" applyFont="1" applyFill="1" applyAlignment="1" applyProtection="1">
      <alignment horizontal="left" vertical="center"/>
    </xf>
    <xf numFmtId="14" fontId="5" fillId="5" borderId="0" xfId="0" applyNumberFormat="1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44" fontId="0" fillId="0" borderId="0" xfId="1" applyFont="1" applyFill="1" applyAlignment="1" applyProtection="1">
      <alignment horizontal="left" vertical="center"/>
    </xf>
    <xf numFmtId="14" fontId="0" fillId="0" borderId="0" xfId="0" applyNumberFormat="1" applyAlignment="1">
      <alignment horizontal="left" vertical="center"/>
    </xf>
    <xf numFmtId="0" fontId="6" fillId="0" borderId="0" xfId="0" applyFont="1" applyAlignment="1">
      <alignment horizontal="left" vertical="center"/>
    </xf>
    <xf numFmtId="17" fontId="0" fillId="3" borderId="5" xfId="0" applyNumberFormat="1" applyFill="1" applyBorder="1" applyAlignment="1">
      <alignment horizontal="left"/>
    </xf>
    <xf numFmtId="17" fontId="0" fillId="3" borderId="6" xfId="0" applyNumberFormat="1" applyFill="1" applyBorder="1" applyAlignment="1">
      <alignment horizontal="left"/>
    </xf>
    <xf numFmtId="17" fontId="0" fillId="3" borderId="7" xfId="0" applyNumberFormat="1" applyFill="1" applyBorder="1" applyAlignment="1">
      <alignment horizontal="left"/>
    </xf>
    <xf numFmtId="9" fontId="0" fillId="0" borderId="8" xfId="2" applyFont="1" applyBorder="1" applyAlignment="1">
      <alignment horizontal="left"/>
    </xf>
    <xf numFmtId="9" fontId="0" fillId="0" borderId="0" xfId="2" applyFont="1" applyBorder="1" applyAlignment="1">
      <alignment horizontal="left"/>
    </xf>
    <xf numFmtId="9" fontId="0" fillId="0" borderId="9" xfId="2" applyFont="1" applyBorder="1" applyAlignment="1">
      <alignment horizontal="left"/>
    </xf>
    <xf numFmtId="9" fontId="0" fillId="0" borderId="10" xfId="2" applyFont="1" applyBorder="1" applyAlignment="1">
      <alignment horizontal="left"/>
    </xf>
    <xf numFmtId="9" fontId="0" fillId="0" borderId="11" xfId="2" applyFont="1" applyBorder="1" applyAlignment="1">
      <alignment horizontal="left"/>
    </xf>
    <xf numFmtId="9" fontId="0" fillId="0" borderId="12" xfId="2" applyFont="1" applyBorder="1" applyAlignment="1">
      <alignment horizontal="left"/>
    </xf>
    <xf numFmtId="0" fontId="4" fillId="2" borderId="0" xfId="0" applyFont="1" applyFill="1" applyAlignment="1">
      <alignment horizontal="left"/>
    </xf>
    <xf numFmtId="44" fontId="0" fillId="7" borderId="0" xfId="1" applyFont="1" applyFill="1" applyBorder="1"/>
    <xf numFmtId="10" fontId="0" fillId="6" borderId="0" xfId="2" applyNumberFormat="1" applyFont="1" applyFill="1" applyBorder="1" applyAlignment="1">
      <alignment horizontal="center"/>
    </xf>
    <xf numFmtId="10" fontId="0" fillId="8" borderId="0" xfId="2" applyNumberFormat="1" applyFont="1" applyFill="1" applyBorder="1" applyAlignment="1">
      <alignment horizontal="center"/>
    </xf>
    <xf numFmtId="44" fontId="0" fillId="9" borderId="0" xfId="1" applyFont="1" applyFill="1" applyBorder="1"/>
    <xf numFmtId="10" fontId="0" fillId="2" borderId="0" xfId="2" applyNumberFormat="1" applyFont="1" applyFill="1" applyBorder="1" applyAlignment="1">
      <alignment horizontal="center"/>
    </xf>
    <xf numFmtId="17" fontId="2" fillId="3" borderId="0" xfId="0" applyNumberFormat="1" applyFont="1" applyFill="1" applyAlignment="1">
      <alignment horizontal="center"/>
    </xf>
    <xf numFmtId="165" fontId="0" fillId="0" borderId="0" xfId="2" applyNumberFormat="1" applyFont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4" fillId="2" borderId="0" xfId="0" applyFont="1" applyFill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11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C30C81-B463-48C5-A4FA-4E4C1D55D2D8}" name="Table1" displayName="Table1" ref="A1:I7" totalsRowShown="0" headerRowDxfId="10" dataDxfId="9">
  <autoFilter ref="A1:I7" xr:uid="{00E8D901-7095-410C-9A2A-21164E01FB8D}"/>
  <tableColumns count="9">
    <tableColumn id="1" xr3:uid="{5B164C06-959F-4992-A679-6584A49581B8}" name="Cliente" dataDxfId="8"/>
    <tableColumn id="2" xr3:uid="{E1C83891-BC41-4D60-AC0E-9905F9846311}" name="Origem do Processo" dataDxfId="7"/>
    <tableColumn id="4" xr3:uid="{422F1BD2-FED0-434A-B7DD-CE7EC65039D6}" name="Responsável" dataDxfId="6"/>
    <tableColumn id="5" xr3:uid="{59243A0A-1734-4B90-BB7F-2C482B42E817}" name="Valor" dataDxfId="5" dataCellStyle="Moeda"/>
    <tableColumn id="8" xr3:uid="{5EB952C0-39C1-4685-8879-F3719EC1DC63}" name="Data" dataDxfId="4"/>
    <tableColumn id="11" xr3:uid="{F60ABD97-7087-4FDC-A26F-A1782A0DDE6E}" name="Campanha" dataDxfId="3"/>
    <tableColumn id="12" xr3:uid="{D05AE761-A70D-443F-9CEA-67CA28E9E18B}" name="Anúncio" dataDxfId="2"/>
    <tableColumn id="13" xr3:uid="{A35FC30E-87C5-4267-9903-2E1947D98381}" name="Prefere" dataDxfId="1"/>
    <tableColumn id="14" xr3:uid="{CAB90185-EA16-40C5-876C-75FC120A33D2}" name="Moment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AA1F3-0BFE-45DE-99B4-5CCC260F9889}">
  <sheetPr>
    <tabColor theme="8" tint="0.39997558519241921"/>
  </sheetPr>
  <dimension ref="A1:D4"/>
  <sheetViews>
    <sheetView showGridLines="0" zoomScale="101" workbookViewId="0">
      <selection activeCell="A21" sqref="A21"/>
    </sheetView>
  </sheetViews>
  <sheetFormatPr defaultRowHeight="15.75"/>
  <cols>
    <col min="1" max="1" width="31.25" customWidth="1"/>
    <col min="2" max="4" width="11.25" customWidth="1"/>
  </cols>
  <sheetData>
    <row r="1" spans="1:4" ht="24.75" customHeight="1">
      <c r="A1" s="34" t="s">
        <v>92</v>
      </c>
      <c r="B1" s="25">
        <v>46023</v>
      </c>
      <c r="C1" s="26">
        <v>46054</v>
      </c>
      <c r="D1" s="27">
        <v>46082</v>
      </c>
    </row>
    <row r="2" spans="1:4">
      <c r="A2" s="11" t="s">
        <v>86</v>
      </c>
      <c r="B2" s="28">
        <v>0.22</v>
      </c>
      <c r="C2" s="29">
        <v>0.24</v>
      </c>
      <c r="D2" s="30">
        <v>0.26</v>
      </c>
    </row>
    <row r="3" spans="1:4">
      <c r="A3" s="11" t="s">
        <v>85</v>
      </c>
      <c r="B3" s="28">
        <v>0.2</v>
      </c>
      <c r="C3" s="29">
        <v>0.22</v>
      </c>
      <c r="D3" s="30">
        <v>0.24</v>
      </c>
    </row>
    <row r="4" spans="1:4">
      <c r="A4" s="11" t="s">
        <v>84</v>
      </c>
      <c r="B4" s="31">
        <v>0.08</v>
      </c>
      <c r="C4" s="32">
        <v>0.1</v>
      </c>
      <c r="D4" s="33">
        <v>0.12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C986F-EE27-144A-8FB4-DB3E9F7C0FCE}">
  <sheetPr>
    <tabColor rgb="FF92D050"/>
  </sheetPr>
  <dimension ref="A1:DA20"/>
  <sheetViews>
    <sheetView showGridLines="0" tabSelected="1" zoomScale="130" zoomScaleNormal="130" workbookViewId="0">
      <pane xSplit="1" ySplit="4" topLeftCell="AC5" activePane="bottomRight" state="frozen"/>
      <selection pane="topRight" activeCell="B1" sqref="B1"/>
      <selection pane="bottomLeft" activeCell="A5" sqref="A5"/>
      <selection pane="bottomRight" activeCell="CG1" sqref="CG1:CM1048576"/>
    </sheetView>
  </sheetViews>
  <sheetFormatPr defaultColWidth="11" defaultRowHeight="15.75" outlineLevelCol="7"/>
  <cols>
    <col min="1" max="1" width="46.875" bestFit="1" customWidth="1"/>
    <col min="2" max="2" width="14.375" bestFit="1" customWidth="1"/>
    <col min="3" max="3" width="13.375" bestFit="1" customWidth="1"/>
    <col min="4" max="5" width="13.25" bestFit="1" customWidth="1"/>
    <col min="6" max="6" width="12.25" bestFit="1" customWidth="1"/>
    <col min="7" max="7" width="13.25" bestFit="1" customWidth="1"/>
    <col min="8" max="8" width="19.125" customWidth="1"/>
    <col min="9" max="9" width="14.875" bestFit="1" customWidth="1"/>
    <col min="10" max="11" width="14.875" hidden="1" customWidth="1" outlineLevel="1"/>
    <col min="12" max="12" width="14.875" customWidth="1" collapsed="1"/>
    <col min="13" max="13" width="16.25" hidden="1" customWidth="1" outlineLevel="1"/>
    <col min="14" max="15" width="14.375" hidden="1" customWidth="1" outlineLevel="1"/>
    <col min="16" max="16" width="13.375" hidden="1" customWidth="1" outlineLevel="1"/>
    <col min="17" max="17" width="14" customWidth="1" collapsed="1"/>
    <col min="18" max="18" width="14" hidden="1" customWidth="1" outlineLevel="1"/>
    <col min="19" max="19" width="13.25" hidden="1" customWidth="1" outlineLevel="1"/>
    <col min="20" max="21" width="12.75" hidden="1" customWidth="1" outlineLevel="1"/>
    <col min="22" max="22" width="13.25" hidden="1" customWidth="1" outlineLevel="1"/>
    <col min="23" max="23" width="13.875" bestFit="1" customWidth="1" collapsed="1"/>
    <col min="24" max="26" width="12.75" hidden="1" customWidth="1" outlineLevel="1"/>
    <col min="27" max="28" width="12.5" hidden="1" customWidth="1" outlineLevel="1"/>
    <col min="29" max="29" width="13.25" bestFit="1" customWidth="1" collapsed="1"/>
    <col min="30" max="30" width="12.5" hidden="1" customWidth="1" outlineLevel="3"/>
    <col min="31" max="31" width="14" hidden="1" customWidth="1" outlineLevel="3"/>
    <col min="32" max="32" width="13.625" hidden="1" customWidth="1" outlineLevel="3"/>
    <col min="33" max="34" width="12.5" hidden="1" customWidth="1" outlineLevel="3"/>
    <col min="35" max="35" width="11" hidden="1" customWidth="1" outlineLevel="3"/>
    <col min="36" max="36" width="12.75" bestFit="1" customWidth="1" collapsed="1"/>
    <col min="37" max="37" width="12.875" hidden="1" customWidth="1" outlineLevel="1"/>
    <col min="38" max="39" width="12.25" hidden="1" customWidth="1" outlineLevel="1"/>
    <col min="40" max="41" width="12.75" hidden="1" customWidth="1" outlineLevel="1"/>
    <col min="42" max="42" width="17.875" customWidth="1" collapsed="1"/>
    <col min="43" max="45" width="12.75" hidden="1" customWidth="1" outlineLevel="2"/>
    <col min="46" max="50" width="12.75" hidden="1" customWidth="1" outlineLevel="3"/>
    <col min="51" max="51" width="12.75" hidden="1" customWidth="1" outlineLevel="2" collapsed="1"/>
    <col min="52" max="58" width="12.75" hidden="1" customWidth="1" outlineLevel="3"/>
    <col min="59" max="59" width="12.75" hidden="1" customWidth="1" outlineLevel="2" collapsed="1"/>
    <col min="60" max="60" width="12.75" hidden="1" customWidth="1" outlineLevel="5"/>
    <col min="61" max="66" width="12.75" hidden="1" customWidth="1" outlineLevel="6"/>
    <col min="67" max="67" width="17.875" customWidth="1" collapsed="1"/>
    <col min="68" max="68" width="12.75" customWidth="1" outlineLevel="5"/>
    <col min="69" max="75" width="12.75" hidden="1" customWidth="1" outlineLevel="7"/>
    <col min="76" max="76" width="12.75" customWidth="1" outlineLevel="6" collapsed="1"/>
    <col min="77" max="83" width="12.75" hidden="1" customWidth="1" outlineLevel="7"/>
    <col min="84" max="84" width="12.75" customWidth="1" outlineLevel="6" collapsed="1"/>
    <col min="85" max="91" width="12.75" customWidth="1" outlineLevel="7"/>
    <col min="92" max="92" width="12.75" customWidth="1" outlineLevel="6"/>
  </cols>
  <sheetData>
    <row r="1" spans="1:105">
      <c r="A1" s="44" t="s">
        <v>2</v>
      </c>
      <c r="F1" s="42" t="s">
        <v>11</v>
      </c>
      <c r="G1" s="43"/>
      <c r="H1" s="16" t="s">
        <v>93</v>
      </c>
      <c r="M1" s="1">
        <f>SUM(G9:I9)/SUM(G8:I8)</f>
        <v>22044.0625</v>
      </c>
      <c r="AS1">
        <v>50</v>
      </c>
    </row>
    <row r="2" spans="1:105">
      <c r="A2" s="44"/>
    </row>
    <row r="3" spans="1:105">
      <c r="A3" s="17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X3" s="2" t="s">
        <v>46</v>
      </c>
      <c r="Y3" s="2" t="s">
        <v>47</v>
      </c>
      <c r="Z3" s="2" t="s">
        <v>48</v>
      </c>
      <c r="AA3" s="2" t="s">
        <v>49</v>
      </c>
      <c r="AB3" s="2" t="s">
        <v>50</v>
      </c>
      <c r="AD3" s="2" t="s">
        <v>46</v>
      </c>
      <c r="AE3" s="2" t="s">
        <v>47</v>
      </c>
      <c r="AF3" s="2" t="s">
        <v>48</v>
      </c>
      <c r="AG3" s="2" t="s">
        <v>49</v>
      </c>
      <c r="AH3" s="2" t="s">
        <v>50</v>
      </c>
      <c r="AK3" s="2" t="s">
        <v>46</v>
      </c>
      <c r="AL3" s="2" t="s">
        <v>47</v>
      </c>
      <c r="AM3" s="2" t="s">
        <v>48</v>
      </c>
      <c r="AN3" s="2" t="s">
        <v>49</v>
      </c>
      <c r="AO3" s="2" t="s">
        <v>50</v>
      </c>
      <c r="AQ3" s="2" t="s">
        <v>46</v>
      </c>
      <c r="AR3" s="2" t="s">
        <v>47</v>
      </c>
      <c r="AS3" s="2" t="s">
        <v>48</v>
      </c>
      <c r="AT3" s="2"/>
      <c r="AU3" s="2"/>
      <c r="AV3" s="2"/>
      <c r="AW3" s="2"/>
      <c r="AX3" s="2"/>
      <c r="AY3" s="2" t="s">
        <v>49</v>
      </c>
      <c r="BG3" s="2" t="s">
        <v>50</v>
      </c>
      <c r="BP3" s="2" t="s">
        <v>46</v>
      </c>
      <c r="BQ3" s="2"/>
      <c r="BR3" s="2"/>
      <c r="BS3" s="2"/>
      <c r="BT3" s="2"/>
      <c r="BU3" s="2"/>
      <c r="BV3" s="2"/>
      <c r="BW3" s="2"/>
      <c r="BX3" s="2" t="s">
        <v>47</v>
      </c>
      <c r="BY3" s="2" t="s">
        <v>100</v>
      </c>
      <c r="BZ3" s="2" t="s">
        <v>101</v>
      </c>
      <c r="CA3" s="2" t="s">
        <v>100</v>
      </c>
      <c r="CB3" s="2" t="s">
        <v>101</v>
      </c>
      <c r="CC3" s="2" t="s">
        <v>100</v>
      </c>
      <c r="CD3" s="2" t="s">
        <v>101</v>
      </c>
      <c r="CE3" s="2" t="s">
        <v>101</v>
      </c>
      <c r="CF3" s="2" t="s">
        <v>48</v>
      </c>
      <c r="CG3" s="2" t="s">
        <v>101</v>
      </c>
      <c r="CH3" s="2" t="s">
        <v>100</v>
      </c>
      <c r="CI3" s="2" t="s">
        <v>100</v>
      </c>
      <c r="CJ3" s="2" t="s">
        <v>102</v>
      </c>
      <c r="CK3" s="2" t="s">
        <v>101</v>
      </c>
      <c r="CL3" s="2" t="s">
        <v>101</v>
      </c>
      <c r="CM3" s="2"/>
      <c r="CN3" s="2" t="s">
        <v>95</v>
      </c>
      <c r="CO3" s="2"/>
      <c r="CP3" s="2"/>
      <c r="CQ3" s="2"/>
      <c r="CR3" s="2"/>
      <c r="CS3" s="2"/>
      <c r="DA3" s="2"/>
    </row>
    <row r="4" spans="1:105">
      <c r="B4" s="40">
        <v>45627</v>
      </c>
      <c r="C4" s="12" t="s">
        <v>16</v>
      </c>
      <c r="D4" s="12" t="s">
        <v>17</v>
      </c>
      <c r="E4" s="12" t="s">
        <v>18</v>
      </c>
      <c r="F4" s="12" t="s">
        <v>19</v>
      </c>
      <c r="G4" s="12" t="s">
        <v>20</v>
      </c>
      <c r="H4" s="12" t="s">
        <v>21</v>
      </c>
      <c r="I4" s="12" t="s">
        <v>14</v>
      </c>
      <c r="J4" s="12" t="s">
        <v>23</v>
      </c>
      <c r="K4" s="13" t="s">
        <v>25</v>
      </c>
      <c r="L4" s="13" t="s">
        <v>28</v>
      </c>
      <c r="M4" s="12" t="s">
        <v>26</v>
      </c>
      <c r="N4" s="12" t="s">
        <v>27</v>
      </c>
      <c r="O4" s="12" t="s">
        <v>29</v>
      </c>
      <c r="P4" s="12" t="s">
        <v>30</v>
      </c>
      <c r="Q4" s="13" t="s">
        <v>31</v>
      </c>
      <c r="R4" s="12" t="s">
        <v>32</v>
      </c>
      <c r="S4" s="12" t="s">
        <v>33</v>
      </c>
      <c r="T4" s="12" t="s">
        <v>34</v>
      </c>
      <c r="U4" s="12" t="s">
        <v>35</v>
      </c>
      <c r="V4" s="12" t="s">
        <v>36</v>
      </c>
      <c r="W4" s="13" t="s">
        <v>37</v>
      </c>
      <c r="X4" s="12" t="s">
        <v>38</v>
      </c>
      <c r="Y4" s="12" t="s">
        <v>39</v>
      </c>
      <c r="Z4" s="12" t="s">
        <v>40</v>
      </c>
      <c r="AA4" s="12" t="s">
        <v>41</v>
      </c>
      <c r="AB4" s="12" t="s">
        <v>42</v>
      </c>
      <c r="AC4" s="13" t="s">
        <v>43</v>
      </c>
      <c r="AD4" s="13">
        <v>45962</v>
      </c>
      <c r="AE4" s="12" t="s">
        <v>44</v>
      </c>
      <c r="AF4" s="12" t="s">
        <v>45</v>
      </c>
      <c r="AG4" s="12" t="s">
        <v>51</v>
      </c>
      <c r="AH4" s="12" t="s">
        <v>52</v>
      </c>
      <c r="AI4" s="13">
        <v>45991</v>
      </c>
      <c r="AJ4" s="13" t="s">
        <v>15</v>
      </c>
      <c r="AK4" s="13" t="s">
        <v>53</v>
      </c>
      <c r="AL4" s="12" t="s">
        <v>54</v>
      </c>
      <c r="AM4" s="12" t="s">
        <v>55</v>
      </c>
      <c r="AN4" s="12" t="s">
        <v>56</v>
      </c>
      <c r="AO4" s="12" t="s">
        <v>57</v>
      </c>
      <c r="AP4" s="13" t="s">
        <v>16</v>
      </c>
      <c r="AQ4" s="13" t="s">
        <v>87</v>
      </c>
      <c r="AR4" s="13" t="s">
        <v>88</v>
      </c>
      <c r="AS4" s="13" t="s">
        <v>89</v>
      </c>
      <c r="AT4" s="13">
        <v>46035</v>
      </c>
      <c r="AU4" s="13">
        <v>46036</v>
      </c>
      <c r="AV4" s="13">
        <v>46037</v>
      </c>
      <c r="AW4" s="13">
        <v>46038</v>
      </c>
      <c r="AX4" s="13">
        <v>46039</v>
      </c>
      <c r="AY4" s="13" t="s">
        <v>90</v>
      </c>
      <c r="AZ4" s="13">
        <v>46040</v>
      </c>
      <c r="BA4" s="13">
        <v>46041</v>
      </c>
      <c r="BB4" s="13">
        <v>46042</v>
      </c>
      <c r="BC4" s="13">
        <v>46043</v>
      </c>
      <c r="BD4" s="13">
        <v>46044</v>
      </c>
      <c r="BE4" s="13">
        <v>46045</v>
      </c>
      <c r="BF4" s="13">
        <v>46046</v>
      </c>
      <c r="BG4" s="13" t="s">
        <v>91</v>
      </c>
      <c r="BH4" s="13">
        <v>46047</v>
      </c>
      <c r="BI4" s="13">
        <v>46048</v>
      </c>
      <c r="BJ4" s="13">
        <v>46049</v>
      </c>
      <c r="BK4" s="13">
        <v>46050</v>
      </c>
      <c r="BL4" s="13">
        <v>46051</v>
      </c>
      <c r="BM4" s="13">
        <v>46052</v>
      </c>
      <c r="BN4" s="13">
        <v>46053</v>
      </c>
      <c r="BO4" s="13" t="s">
        <v>94</v>
      </c>
      <c r="BP4" s="13" t="s">
        <v>96</v>
      </c>
      <c r="BQ4" s="13">
        <v>46054</v>
      </c>
      <c r="BR4" s="13">
        <v>46055</v>
      </c>
      <c r="BS4" s="13">
        <v>46056</v>
      </c>
      <c r="BT4" s="13">
        <v>46057</v>
      </c>
      <c r="BU4" s="13">
        <v>46058</v>
      </c>
      <c r="BV4" s="13">
        <v>46059</v>
      </c>
      <c r="BW4" s="13">
        <v>46060</v>
      </c>
      <c r="BX4" s="13" t="s">
        <v>97</v>
      </c>
      <c r="BY4" s="13">
        <v>46061</v>
      </c>
      <c r="BZ4" s="13">
        <v>46062</v>
      </c>
      <c r="CA4" s="13">
        <v>46063</v>
      </c>
      <c r="CB4" s="13">
        <v>46064</v>
      </c>
      <c r="CC4" s="13">
        <v>46065</v>
      </c>
      <c r="CD4" s="13">
        <v>46066</v>
      </c>
      <c r="CE4" s="13">
        <v>46067</v>
      </c>
      <c r="CF4" s="13" t="s">
        <v>98</v>
      </c>
      <c r="CG4" s="13">
        <v>46068</v>
      </c>
      <c r="CH4" s="13">
        <v>46069</v>
      </c>
      <c r="CI4" s="13">
        <v>46070</v>
      </c>
      <c r="CJ4" s="13">
        <v>46071</v>
      </c>
      <c r="CK4" s="13">
        <v>46072</v>
      </c>
      <c r="CL4" s="13">
        <v>46073</v>
      </c>
      <c r="CM4" s="13">
        <v>46074</v>
      </c>
      <c r="CN4" s="13" t="s">
        <v>99</v>
      </c>
    </row>
    <row r="5" spans="1:105">
      <c r="A5" s="11" t="s">
        <v>0</v>
      </c>
      <c r="B5" s="2">
        <v>503</v>
      </c>
      <c r="C5" s="2">
        <v>623</v>
      </c>
      <c r="D5" s="2">
        <v>555</v>
      </c>
      <c r="E5" s="2">
        <v>618</v>
      </c>
      <c r="F5" s="2">
        <v>571</v>
      </c>
      <c r="G5" s="2">
        <v>616</v>
      </c>
      <c r="H5" s="2">
        <v>514</v>
      </c>
      <c r="I5" s="2">
        <v>562</v>
      </c>
      <c r="J5" s="2">
        <v>503</v>
      </c>
      <c r="K5" s="2">
        <v>503</v>
      </c>
      <c r="L5" s="2">
        <v>1175</v>
      </c>
      <c r="M5" s="2">
        <v>0</v>
      </c>
      <c r="N5" s="2">
        <v>0</v>
      </c>
      <c r="O5" s="2">
        <v>0</v>
      </c>
      <c r="P5" s="2">
        <v>0</v>
      </c>
      <c r="Q5" s="2">
        <v>1304</v>
      </c>
      <c r="R5" s="2">
        <v>325</v>
      </c>
      <c r="S5" s="2">
        <v>272</v>
      </c>
      <c r="T5" s="2">
        <v>258</v>
      </c>
      <c r="U5" s="2">
        <v>329</v>
      </c>
      <c r="V5" s="2">
        <v>120</v>
      </c>
      <c r="W5" s="2">
        <v>1215</v>
      </c>
      <c r="X5" s="2">
        <v>175</v>
      </c>
      <c r="Y5" s="2">
        <v>267</v>
      </c>
      <c r="Z5" s="2">
        <v>215</v>
      </c>
      <c r="AA5" s="2">
        <v>320</v>
      </c>
      <c r="AB5" s="2">
        <v>162</v>
      </c>
      <c r="AC5" s="2">
        <v>726</v>
      </c>
      <c r="AD5" s="2">
        <v>20</v>
      </c>
      <c r="AE5" s="2">
        <v>180</v>
      </c>
      <c r="AF5" s="2">
        <v>179</v>
      </c>
      <c r="AG5" s="2">
        <v>181</v>
      </c>
      <c r="AH5" s="2">
        <v>148</v>
      </c>
      <c r="AI5" s="2">
        <v>18</v>
      </c>
      <c r="AJ5" s="2">
        <v>592</v>
      </c>
      <c r="AK5" s="2">
        <v>139</v>
      </c>
      <c r="AL5" s="2">
        <v>170</v>
      </c>
      <c r="AM5" s="2">
        <v>140</v>
      </c>
      <c r="AN5" s="2">
        <v>115</v>
      </c>
      <c r="AO5" s="2">
        <v>78</v>
      </c>
      <c r="AP5" s="2">
        <v>751</v>
      </c>
      <c r="AQ5" s="2">
        <v>31</v>
      </c>
      <c r="AR5" s="2">
        <v>92</v>
      </c>
      <c r="AS5" s="2">
        <v>178</v>
      </c>
      <c r="AT5" s="2">
        <v>25</v>
      </c>
      <c r="AU5" s="2">
        <v>28</v>
      </c>
      <c r="AV5" s="2">
        <v>23</v>
      </c>
      <c r="AW5" s="2">
        <v>35</v>
      </c>
      <c r="AX5" s="2">
        <v>41</v>
      </c>
      <c r="AY5" s="2">
        <f>AZ5+BA5+BB5+BC5+BD5+BE5+BF5</f>
        <v>209</v>
      </c>
      <c r="AZ5" s="2">
        <v>24</v>
      </c>
      <c r="BA5" s="2">
        <v>42</v>
      </c>
      <c r="BB5" s="2">
        <v>25</v>
      </c>
      <c r="BC5" s="2">
        <v>38</v>
      </c>
      <c r="BD5" s="2">
        <v>20</v>
      </c>
      <c r="BE5" s="2">
        <v>30</v>
      </c>
      <c r="BF5" s="2">
        <v>30</v>
      </c>
      <c r="BG5" s="2">
        <f>BH5+BI5+BJ5+BK5+BL5+BM5+BN5</f>
        <v>203</v>
      </c>
      <c r="BH5" s="2">
        <v>30</v>
      </c>
      <c r="BI5" s="2">
        <v>40</v>
      </c>
      <c r="BJ5" s="2">
        <v>31</v>
      </c>
      <c r="BK5" s="2">
        <v>23</v>
      </c>
      <c r="BL5" s="2">
        <v>18</v>
      </c>
      <c r="BM5" s="2">
        <v>31</v>
      </c>
      <c r="BN5" s="2">
        <v>30</v>
      </c>
      <c r="BO5" s="2">
        <f>BP5+BX5+CF5+CN5</f>
        <v>411</v>
      </c>
      <c r="BP5" s="2">
        <f>SUM(BQ5:BW5)</f>
        <v>188</v>
      </c>
      <c r="BQ5" s="2">
        <v>27</v>
      </c>
      <c r="BR5" s="2">
        <v>24</v>
      </c>
      <c r="BS5" s="2">
        <v>10</v>
      </c>
      <c r="BT5" s="2">
        <v>44</v>
      </c>
      <c r="BU5" s="2">
        <v>31</v>
      </c>
      <c r="BV5" s="2">
        <v>23</v>
      </c>
      <c r="BW5" s="2">
        <v>29</v>
      </c>
      <c r="BX5" s="2">
        <f>SUM(BY5:CE5)</f>
        <v>130</v>
      </c>
      <c r="BY5" s="2">
        <v>23</v>
      </c>
      <c r="BZ5" s="2">
        <v>16</v>
      </c>
      <c r="CA5" s="2">
        <v>0</v>
      </c>
      <c r="CB5" s="2">
        <v>23</v>
      </c>
      <c r="CC5" s="2">
        <v>30</v>
      </c>
      <c r="CD5" s="2">
        <v>23</v>
      </c>
      <c r="CE5" s="2">
        <v>15</v>
      </c>
      <c r="CF5" s="2">
        <f>SUM(CG5:CM5)</f>
        <v>93</v>
      </c>
      <c r="CG5" s="2">
        <v>20</v>
      </c>
      <c r="CH5" s="2">
        <v>12</v>
      </c>
      <c r="CI5" s="2">
        <v>23</v>
      </c>
      <c r="CJ5" s="2">
        <v>26</v>
      </c>
      <c r="CK5" s="2">
        <v>12</v>
      </c>
      <c r="CL5" s="2">
        <v>0</v>
      </c>
      <c r="CM5" s="2">
        <v>0</v>
      </c>
      <c r="CN5" s="2"/>
    </row>
    <row r="6" spans="1:105">
      <c r="A6" s="11" t="s">
        <v>6</v>
      </c>
      <c r="B6" s="2">
        <v>89</v>
      </c>
      <c r="C6" s="2">
        <v>143</v>
      </c>
      <c r="D6" s="2">
        <v>71</v>
      </c>
      <c r="E6" s="2">
        <v>50</v>
      </c>
      <c r="F6" s="2">
        <v>65</v>
      </c>
      <c r="G6" s="2">
        <v>74</v>
      </c>
      <c r="H6" s="2">
        <v>92</v>
      </c>
      <c r="I6" s="2">
        <v>39</v>
      </c>
      <c r="J6" s="2">
        <v>36</v>
      </c>
      <c r="K6" s="2">
        <v>36</v>
      </c>
      <c r="L6" s="2">
        <v>118</v>
      </c>
      <c r="M6" s="2">
        <v>0</v>
      </c>
      <c r="N6" s="2">
        <v>0</v>
      </c>
      <c r="O6" s="2">
        <v>0</v>
      </c>
      <c r="P6" s="2">
        <v>0</v>
      </c>
      <c r="Q6" s="2">
        <v>164</v>
      </c>
      <c r="R6" s="2">
        <v>36</v>
      </c>
      <c r="S6" s="2">
        <v>67</v>
      </c>
      <c r="T6" s="2">
        <v>20</v>
      </c>
      <c r="U6" s="2">
        <v>29</v>
      </c>
      <c r="V6" s="2">
        <v>13</v>
      </c>
      <c r="W6" s="2">
        <v>130</v>
      </c>
      <c r="X6" s="2">
        <v>21</v>
      </c>
      <c r="Y6" s="2">
        <v>26</v>
      </c>
      <c r="Z6" s="2">
        <v>24</v>
      </c>
      <c r="AA6" s="2">
        <v>35</v>
      </c>
      <c r="AB6" s="2">
        <v>24</v>
      </c>
      <c r="AC6" s="2">
        <v>99</v>
      </c>
      <c r="AD6" s="2">
        <v>2</v>
      </c>
      <c r="AE6" s="2">
        <v>31</v>
      </c>
      <c r="AF6" s="2">
        <v>35</v>
      </c>
      <c r="AG6" s="2">
        <v>22</v>
      </c>
      <c r="AH6" s="2">
        <v>9</v>
      </c>
      <c r="AI6" s="2"/>
      <c r="AJ6" s="2">
        <v>141</v>
      </c>
      <c r="AK6" s="2">
        <v>28</v>
      </c>
      <c r="AL6" s="2">
        <v>39</v>
      </c>
      <c r="AM6" s="2">
        <v>31</v>
      </c>
      <c r="AN6" s="2">
        <v>16</v>
      </c>
      <c r="AO6" s="2">
        <v>19</v>
      </c>
      <c r="AP6" s="2">
        <f>SUM(86+69+56+3)</f>
        <v>214</v>
      </c>
      <c r="AQ6" s="2">
        <v>0</v>
      </c>
      <c r="AR6" s="2">
        <v>29</v>
      </c>
      <c r="AS6" s="2">
        <v>36</v>
      </c>
      <c r="AT6" s="2">
        <v>5</v>
      </c>
      <c r="AU6" s="2">
        <v>8</v>
      </c>
      <c r="AV6" s="2">
        <v>8</v>
      </c>
      <c r="AW6" s="2">
        <v>11</v>
      </c>
      <c r="AX6" s="2">
        <v>9</v>
      </c>
      <c r="AY6" s="2">
        <f>AZ6+BA6+BB6+BC6+BD6+BE6+BF6</f>
        <v>58</v>
      </c>
      <c r="AZ6" s="2">
        <v>4</v>
      </c>
      <c r="BA6" s="2">
        <v>14</v>
      </c>
      <c r="BB6" s="2">
        <v>5</v>
      </c>
      <c r="BC6" s="2">
        <v>7</v>
      </c>
      <c r="BD6" s="2">
        <v>7</v>
      </c>
      <c r="BE6" s="2">
        <v>13</v>
      </c>
      <c r="BF6" s="2">
        <v>8</v>
      </c>
      <c r="BG6" s="2">
        <f>BH6+BI6+BJ6+BK6+BL6+BM6+BN6</f>
        <v>52</v>
      </c>
      <c r="BH6" s="2">
        <v>6</v>
      </c>
      <c r="BI6" s="2">
        <v>8</v>
      </c>
      <c r="BJ6" s="2">
        <v>11</v>
      </c>
      <c r="BK6" s="2">
        <v>3</v>
      </c>
      <c r="BL6" s="2">
        <v>7</v>
      </c>
      <c r="BM6" s="2">
        <v>7</v>
      </c>
      <c r="BN6" s="2">
        <v>10</v>
      </c>
      <c r="BO6" s="2">
        <f>BP6+BX6+CF6+CN6</f>
        <v>87</v>
      </c>
      <c r="BP6" s="2">
        <f>SUM(BQ6:BW6)</f>
        <v>43</v>
      </c>
      <c r="BQ6" s="2">
        <v>5</v>
      </c>
      <c r="BR6" s="2">
        <v>6</v>
      </c>
      <c r="BS6" s="2">
        <v>6</v>
      </c>
      <c r="BT6" s="2">
        <v>3</v>
      </c>
      <c r="BU6" s="2">
        <v>8</v>
      </c>
      <c r="BV6" s="2">
        <v>8</v>
      </c>
      <c r="BW6" s="2">
        <v>7</v>
      </c>
      <c r="BX6" s="2">
        <f>SUM(BY6:CE6)</f>
        <v>24</v>
      </c>
      <c r="BY6" s="2">
        <v>5</v>
      </c>
      <c r="BZ6" s="2">
        <v>4</v>
      </c>
      <c r="CA6" s="2">
        <v>0</v>
      </c>
      <c r="CB6" s="2">
        <v>2</v>
      </c>
      <c r="CC6" s="2">
        <v>5</v>
      </c>
      <c r="CD6" s="2">
        <v>3</v>
      </c>
      <c r="CE6" s="2">
        <v>5</v>
      </c>
      <c r="CF6" s="2">
        <f>SUM(CG6:CM6)</f>
        <v>20</v>
      </c>
      <c r="CG6" s="2">
        <v>5</v>
      </c>
      <c r="CH6" s="2">
        <v>1</v>
      </c>
      <c r="CI6" s="2">
        <v>6</v>
      </c>
      <c r="CJ6" s="2">
        <v>7</v>
      </c>
      <c r="CK6" s="2">
        <v>1</v>
      </c>
      <c r="CL6" s="2">
        <v>0</v>
      </c>
      <c r="CM6" s="2">
        <v>0</v>
      </c>
      <c r="CN6" s="2"/>
    </row>
    <row r="7" spans="1:105">
      <c r="A7" s="11" t="s">
        <v>7</v>
      </c>
      <c r="B7" s="2">
        <v>106</v>
      </c>
      <c r="C7" s="2">
        <v>149</v>
      </c>
      <c r="D7" s="2">
        <v>59</v>
      </c>
      <c r="E7" s="2">
        <v>49</v>
      </c>
      <c r="F7" s="2">
        <v>64</v>
      </c>
      <c r="G7" s="2">
        <v>58</v>
      </c>
      <c r="H7" s="2">
        <v>65</v>
      </c>
      <c r="I7" s="2">
        <v>24</v>
      </c>
      <c r="J7" s="2">
        <v>24</v>
      </c>
      <c r="K7" s="2">
        <v>24</v>
      </c>
      <c r="L7" s="2">
        <v>75</v>
      </c>
      <c r="M7" s="2">
        <v>0</v>
      </c>
      <c r="N7" s="2">
        <v>0</v>
      </c>
      <c r="O7" s="2">
        <v>0</v>
      </c>
      <c r="P7" s="2">
        <v>0</v>
      </c>
      <c r="Q7" s="2">
        <v>107</v>
      </c>
      <c r="R7" s="2">
        <v>22</v>
      </c>
      <c r="S7" s="2">
        <v>40</v>
      </c>
      <c r="T7" s="2">
        <v>14</v>
      </c>
      <c r="U7" s="2">
        <v>22</v>
      </c>
      <c r="V7" s="2">
        <v>9</v>
      </c>
      <c r="W7" s="2">
        <v>93</v>
      </c>
      <c r="X7" s="2">
        <v>17</v>
      </c>
      <c r="Y7" s="2">
        <v>19</v>
      </c>
      <c r="Z7" s="2">
        <v>12</v>
      </c>
      <c r="AA7" s="2">
        <v>24</v>
      </c>
      <c r="AB7" s="2">
        <v>19</v>
      </c>
      <c r="AC7" s="2">
        <v>78</v>
      </c>
      <c r="AD7" s="2">
        <v>1</v>
      </c>
      <c r="AE7" s="2">
        <v>29</v>
      </c>
      <c r="AF7" s="2">
        <v>25</v>
      </c>
      <c r="AG7" s="2">
        <v>21</v>
      </c>
      <c r="AH7" s="2">
        <v>2</v>
      </c>
      <c r="AI7" s="2"/>
      <c r="AJ7" s="2">
        <v>111</v>
      </c>
      <c r="AK7" s="2">
        <v>26</v>
      </c>
      <c r="AL7" s="2">
        <v>32</v>
      </c>
      <c r="AM7" s="2">
        <v>26</v>
      </c>
      <c r="AN7" s="2">
        <v>12</v>
      </c>
      <c r="AO7" s="2">
        <v>16</v>
      </c>
      <c r="AP7" s="2">
        <f>SUM(73+52+1)</f>
        <v>126</v>
      </c>
      <c r="AQ7" s="2">
        <v>0</v>
      </c>
      <c r="AR7" s="2">
        <v>24</v>
      </c>
      <c r="AS7" s="2">
        <v>29</v>
      </c>
      <c r="AT7" s="2">
        <v>4</v>
      </c>
      <c r="AU7" s="2">
        <v>7</v>
      </c>
      <c r="AV7" s="2">
        <v>5</v>
      </c>
      <c r="AW7" s="2">
        <v>8</v>
      </c>
      <c r="AX7" s="2">
        <v>9</v>
      </c>
      <c r="AY7" s="2">
        <f>AZ7+BA7+BB7+BC7+BD7+BE7+BF7</f>
        <v>30</v>
      </c>
      <c r="AZ7" s="2">
        <v>2</v>
      </c>
      <c r="BA7" s="2">
        <v>8</v>
      </c>
      <c r="BB7" s="2">
        <v>4</v>
      </c>
      <c r="BC7" s="2">
        <v>5</v>
      </c>
      <c r="BD7" s="2">
        <v>3</v>
      </c>
      <c r="BE7" s="2">
        <v>4</v>
      </c>
      <c r="BF7" s="2">
        <v>4</v>
      </c>
      <c r="BG7" s="2">
        <f>BH7+BI7+BJ7+BK7+BL7+BM7+BN7</f>
        <v>41</v>
      </c>
      <c r="BH7" s="2">
        <v>4</v>
      </c>
      <c r="BI7" s="2">
        <v>7</v>
      </c>
      <c r="BJ7" s="2">
        <v>7</v>
      </c>
      <c r="BK7" s="2">
        <v>3</v>
      </c>
      <c r="BL7" s="2">
        <v>5</v>
      </c>
      <c r="BM7" s="2">
        <v>6</v>
      </c>
      <c r="BN7" s="2">
        <v>9</v>
      </c>
      <c r="BO7" s="2">
        <f>BP7+BX7+CF7+CN7</f>
        <v>56</v>
      </c>
      <c r="BP7" s="2">
        <f>SUM(BQ7:BW7)</f>
        <v>26</v>
      </c>
      <c r="BQ7" s="2">
        <v>5</v>
      </c>
      <c r="BR7" s="2">
        <v>6</v>
      </c>
      <c r="BS7" s="2">
        <v>4</v>
      </c>
      <c r="BT7" s="2">
        <v>3</v>
      </c>
      <c r="BU7" s="2">
        <v>4</v>
      </c>
      <c r="BV7" s="2">
        <v>4</v>
      </c>
      <c r="BW7" s="2">
        <v>0</v>
      </c>
      <c r="BX7" s="2">
        <f>SUM(BY7:CE7)</f>
        <v>20</v>
      </c>
      <c r="BY7" s="2">
        <v>5</v>
      </c>
      <c r="BZ7" s="2">
        <v>4</v>
      </c>
      <c r="CA7" s="2">
        <v>0</v>
      </c>
      <c r="CB7" s="2">
        <v>2</v>
      </c>
      <c r="CC7" s="2">
        <v>2</v>
      </c>
      <c r="CD7" s="2">
        <v>4</v>
      </c>
      <c r="CE7" s="2">
        <v>3</v>
      </c>
      <c r="CF7" s="2">
        <f>SUM(CG7:CM7)</f>
        <v>10</v>
      </c>
      <c r="CG7" s="2">
        <v>0</v>
      </c>
      <c r="CH7" s="2">
        <v>1</v>
      </c>
      <c r="CI7" s="2">
        <v>5</v>
      </c>
      <c r="CJ7" s="2">
        <v>4</v>
      </c>
      <c r="CK7" s="2">
        <v>0</v>
      </c>
      <c r="CL7" s="2">
        <v>0</v>
      </c>
      <c r="CM7" s="2">
        <v>0</v>
      </c>
      <c r="CN7" s="2"/>
    </row>
    <row r="8" spans="1:105">
      <c r="A8" s="11" t="s">
        <v>8</v>
      </c>
      <c r="B8" s="2">
        <v>5</v>
      </c>
      <c r="C8" s="2">
        <v>4</v>
      </c>
      <c r="D8" s="2">
        <v>1</v>
      </c>
      <c r="E8" s="2">
        <v>2</v>
      </c>
      <c r="F8" s="2">
        <v>0</v>
      </c>
      <c r="G8" s="2">
        <v>5</v>
      </c>
      <c r="H8" s="2">
        <v>6</v>
      </c>
      <c r="I8" s="2">
        <v>1</v>
      </c>
      <c r="J8" s="2">
        <v>1</v>
      </c>
      <c r="K8" s="2">
        <v>1</v>
      </c>
      <c r="L8" s="2">
        <v>1</v>
      </c>
      <c r="M8" s="2">
        <v>0</v>
      </c>
      <c r="N8" s="2">
        <v>0</v>
      </c>
      <c r="O8" s="2">
        <v>0</v>
      </c>
      <c r="P8" s="2">
        <v>0</v>
      </c>
      <c r="Q8" s="2">
        <v>4</v>
      </c>
      <c r="R8" s="2">
        <v>1</v>
      </c>
      <c r="S8" s="2">
        <v>1</v>
      </c>
      <c r="T8" s="2">
        <v>0</v>
      </c>
      <c r="U8" s="2">
        <v>0</v>
      </c>
      <c r="V8" s="2">
        <v>2</v>
      </c>
      <c r="W8" s="2">
        <v>3</v>
      </c>
      <c r="X8" s="2">
        <v>0</v>
      </c>
      <c r="Y8" s="2">
        <v>0</v>
      </c>
      <c r="Z8" s="2">
        <v>0</v>
      </c>
      <c r="AA8" s="2">
        <v>0</v>
      </c>
      <c r="AB8" s="2">
        <v>3</v>
      </c>
      <c r="AC8" s="2">
        <v>3</v>
      </c>
      <c r="AD8" s="2">
        <v>0</v>
      </c>
      <c r="AE8" s="2">
        <v>1</v>
      </c>
      <c r="AF8" s="2">
        <v>2</v>
      </c>
      <c r="AG8" s="2">
        <v>0</v>
      </c>
      <c r="AH8" s="2">
        <v>0</v>
      </c>
      <c r="AI8" s="2">
        <v>0</v>
      </c>
      <c r="AJ8" s="2">
        <v>6</v>
      </c>
      <c r="AK8" s="2">
        <v>1</v>
      </c>
      <c r="AL8" s="2">
        <v>0</v>
      </c>
      <c r="AM8" s="2">
        <v>0</v>
      </c>
      <c r="AN8" s="2">
        <v>3</v>
      </c>
      <c r="AO8" s="2">
        <v>2</v>
      </c>
      <c r="AP8" s="2">
        <v>5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1</v>
      </c>
      <c r="BD8" s="2">
        <v>0</v>
      </c>
      <c r="BE8" s="2">
        <v>0</v>
      </c>
      <c r="BF8" s="2">
        <v>0</v>
      </c>
      <c r="BG8" s="2">
        <v>0</v>
      </c>
      <c r="BH8" s="2"/>
      <c r="BI8" s="2">
        <v>0</v>
      </c>
      <c r="BJ8" s="2">
        <v>0</v>
      </c>
      <c r="BK8" s="2"/>
      <c r="BL8" s="2"/>
      <c r="BM8" s="2">
        <v>0</v>
      </c>
      <c r="BN8" s="2"/>
      <c r="BO8" s="2">
        <v>0</v>
      </c>
      <c r="BP8" s="2">
        <f>SUM(BQ8:BW8)</f>
        <v>0</v>
      </c>
      <c r="BQ8" s="2">
        <v>0</v>
      </c>
      <c r="BR8" s="2">
        <v>0</v>
      </c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</row>
    <row r="9" spans="1:105">
      <c r="A9" s="11" t="s">
        <v>12</v>
      </c>
      <c r="B9" s="3">
        <v>152461.76999999999</v>
      </c>
      <c r="C9" s="3">
        <v>62743.87</v>
      </c>
      <c r="D9" s="3">
        <v>16496.46</v>
      </c>
      <c r="E9" s="3">
        <v>34733.58</v>
      </c>
      <c r="F9" s="3">
        <v>0</v>
      </c>
      <c r="G9" s="3">
        <v>84072.46</v>
      </c>
      <c r="H9" s="3">
        <v>105640.31</v>
      </c>
      <c r="I9" s="3">
        <v>74815.98</v>
      </c>
      <c r="J9" s="3">
        <v>74815.98</v>
      </c>
      <c r="K9" s="3">
        <v>74815.98</v>
      </c>
      <c r="L9" s="3">
        <v>12800</v>
      </c>
      <c r="M9" s="3">
        <v>0</v>
      </c>
      <c r="N9" s="3">
        <v>0</v>
      </c>
      <c r="O9" s="3">
        <v>0</v>
      </c>
      <c r="P9" s="3">
        <v>0</v>
      </c>
      <c r="Q9" s="3">
        <v>51466.07</v>
      </c>
      <c r="R9" s="3">
        <v>16359.14</v>
      </c>
      <c r="S9" s="3">
        <v>12606.23</v>
      </c>
      <c r="T9" s="3">
        <v>0</v>
      </c>
      <c r="U9" s="3">
        <v>0</v>
      </c>
      <c r="V9" s="3">
        <v>22500.7</v>
      </c>
      <c r="W9" s="3">
        <v>39424.75</v>
      </c>
      <c r="X9" s="3">
        <v>0</v>
      </c>
      <c r="Y9" s="3">
        <v>0</v>
      </c>
      <c r="Z9" s="3">
        <v>0</v>
      </c>
      <c r="AA9" s="3">
        <v>0</v>
      </c>
      <c r="AB9" s="3">
        <v>39424.75</v>
      </c>
      <c r="AC9" s="3">
        <f>SUM(AD9:AG9)</f>
        <v>52136.55</v>
      </c>
      <c r="AD9" s="3">
        <v>0</v>
      </c>
      <c r="AE9" s="3">
        <v>9531.86</v>
      </c>
      <c r="AF9" s="3">
        <v>42604.69</v>
      </c>
      <c r="AG9" s="3">
        <v>0</v>
      </c>
      <c r="AH9" s="3">
        <v>0</v>
      </c>
      <c r="AI9" s="3">
        <v>0</v>
      </c>
      <c r="AJ9" s="3">
        <v>94216.74</v>
      </c>
      <c r="AK9" s="3">
        <v>9482.4699999999993</v>
      </c>
      <c r="AL9" s="3">
        <v>0</v>
      </c>
      <c r="AM9" s="3">
        <v>0</v>
      </c>
      <c r="AN9" s="3">
        <v>41260.07</v>
      </c>
      <c r="AO9" s="3">
        <v>43474.2</v>
      </c>
      <c r="AP9" s="3">
        <v>63909.23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/>
      <c r="BP9" s="3">
        <f>SUM(BQ9:BW9)</f>
        <v>0</v>
      </c>
      <c r="BQ9" s="3">
        <f t="shared" ref="BQ9:BX9" si="0">SUM(BR9:BX9)</f>
        <v>0</v>
      </c>
      <c r="BR9" s="3">
        <f t="shared" si="0"/>
        <v>0</v>
      </c>
      <c r="BS9" s="3">
        <f t="shared" si="0"/>
        <v>0</v>
      </c>
      <c r="BT9" s="3">
        <f t="shared" si="0"/>
        <v>0</v>
      </c>
      <c r="BU9" s="3">
        <f t="shared" si="0"/>
        <v>0</v>
      </c>
      <c r="BV9" s="3">
        <f t="shared" si="0"/>
        <v>0</v>
      </c>
      <c r="BW9" s="3">
        <f t="shared" si="0"/>
        <v>0</v>
      </c>
      <c r="BX9" s="3">
        <f t="shared" si="0"/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/>
    </row>
    <row r="10" spans="1:105">
      <c r="A10" s="11" t="s">
        <v>13</v>
      </c>
      <c r="B10" s="3">
        <f>B5*B16</f>
        <v>10060</v>
      </c>
      <c r="C10" s="3">
        <f t="shared" ref="C10:M10" si="1">C5*C16</f>
        <v>10117.519999999999</v>
      </c>
      <c r="D10" s="3">
        <f t="shared" si="1"/>
        <v>9074.25</v>
      </c>
      <c r="E10" s="3">
        <f t="shared" si="1"/>
        <v>10190.82</v>
      </c>
      <c r="F10" s="3">
        <f t="shared" si="1"/>
        <v>9295.880000000001</v>
      </c>
      <c r="G10" s="3">
        <f t="shared" si="1"/>
        <v>9560.32</v>
      </c>
      <c r="H10" s="3">
        <f t="shared" si="1"/>
        <v>7884.76</v>
      </c>
      <c r="I10" s="3">
        <f t="shared" si="1"/>
        <v>6974.42</v>
      </c>
      <c r="J10" s="3">
        <f t="shared" ref="J10:L10" si="2">J5*J16</f>
        <v>6745.2300000000005</v>
      </c>
      <c r="K10" s="3">
        <f t="shared" si="2"/>
        <v>7248.2300000000005</v>
      </c>
      <c r="L10" s="3">
        <f t="shared" si="2"/>
        <v>10445.75</v>
      </c>
      <c r="M10" s="3">
        <f t="shared" si="1"/>
        <v>0</v>
      </c>
      <c r="N10" s="3">
        <f t="shared" ref="N10:Q10" si="3">N5*N16</f>
        <v>0</v>
      </c>
      <c r="O10" s="3">
        <f t="shared" si="3"/>
        <v>0</v>
      </c>
      <c r="P10" s="3">
        <f t="shared" ref="P10" si="4">P5*P16</f>
        <v>0</v>
      </c>
      <c r="Q10" s="3">
        <f t="shared" si="3"/>
        <v>8906.32</v>
      </c>
      <c r="R10" s="3">
        <f t="shared" ref="R10:S10" si="5">R5*R16</f>
        <v>1868.75</v>
      </c>
      <c r="S10" s="3">
        <f t="shared" si="5"/>
        <v>1814.24</v>
      </c>
      <c r="T10" s="3">
        <f t="shared" ref="T10:U10" si="6">T5*T16</f>
        <v>2141.4</v>
      </c>
      <c r="U10" s="3">
        <f t="shared" si="6"/>
        <v>2135.21</v>
      </c>
      <c r="V10" s="3">
        <f t="shared" ref="V10:X10" si="7">V5*V16</f>
        <v>910.8</v>
      </c>
      <c r="W10" s="3">
        <f t="shared" si="7"/>
        <v>8201.25</v>
      </c>
      <c r="X10" s="3">
        <f t="shared" si="7"/>
        <v>1204</v>
      </c>
      <c r="Y10" s="3">
        <f t="shared" ref="Y10:Z10" si="8">Y5*Y16</f>
        <v>2149.3500000000004</v>
      </c>
      <c r="Z10" s="3">
        <f t="shared" si="8"/>
        <v>1591</v>
      </c>
      <c r="AA10" s="3">
        <f t="shared" ref="AA10:AC10" si="9">AA5*AA16</f>
        <v>1699.1999999999998</v>
      </c>
      <c r="AB10" s="3">
        <f t="shared" si="9"/>
        <v>1004.4</v>
      </c>
      <c r="AC10" s="3">
        <f t="shared" si="9"/>
        <v>4668.1799999999994</v>
      </c>
      <c r="AD10" s="3">
        <f t="shared" ref="AD10:AF10" si="10">AD5*AD16</f>
        <v>167.8</v>
      </c>
      <c r="AE10" s="3">
        <f t="shared" si="10"/>
        <v>1179</v>
      </c>
      <c r="AF10" s="3">
        <f t="shared" si="10"/>
        <v>1154.55</v>
      </c>
      <c r="AG10" s="3">
        <f t="shared" ref="AG10:AH10" si="11">AG5*AG16</f>
        <v>1165.6400000000001</v>
      </c>
      <c r="AH10" s="3">
        <f t="shared" si="11"/>
        <v>1170.68</v>
      </c>
      <c r="AI10" s="3">
        <f t="shared" ref="AI10" si="12">AI5*AI16</f>
        <v>185.94</v>
      </c>
      <c r="AJ10" s="3">
        <f t="shared" ref="AJ10:AO10" si="13">AJ5*AJ16</f>
        <v>4676.8</v>
      </c>
      <c r="AK10" s="3">
        <f t="shared" si="13"/>
        <v>978.56000000000006</v>
      </c>
      <c r="AL10" s="3">
        <f t="shared" si="13"/>
        <v>1139</v>
      </c>
      <c r="AM10" s="3">
        <f t="shared" si="13"/>
        <v>1160.5999999999999</v>
      </c>
      <c r="AN10" s="3">
        <f t="shared" si="13"/>
        <v>1151.1499999999999</v>
      </c>
      <c r="AO10" s="3">
        <f t="shared" si="13"/>
        <v>642.72</v>
      </c>
      <c r="AP10" s="3">
        <f t="shared" ref="AP10:AY10" si="14">AP5*AP16</f>
        <v>5084.2699999999995</v>
      </c>
      <c r="AQ10" s="3">
        <f t="shared" si="14"/>
        <v>338.52</v>
      </c>
      <c r="AR10" s="3">
        <f t="shared" si="14"/>
        <v>845.4799999999999</v>
      </c>
      <c r="AS10" s="3">
        <f t="shared" si="14"/>
        <v>1185.48</v>
      </c>
      <c r="AT10" s="3">
        <f t="shared" ref="AT10" si="15">AT5*AT16</f>
        <v>204.99999999999997</v>
      </c>
      <c r="AU10" s="3">
        <f t="shared" ref="AU10" si="16">AU5*AU16</f>
        <v>163.24</v>
      </c>
      <c r="AV10" s="3">
        <f>AV5*AV16</f>
        <v>156.16999999999999</v>
      </c>
      <c r="AW10" s="3">
        <f>AW5*AW16</f>
        <v>171.85</v>
      </c>
      <c r="AX10" s="3">
        <f>AX5*AX16</f>
        <v>166.45999999999998</v>
      </c>
      <c r="AY10" s="3">
        <f t="shared" si="14"/>
        <v>0</v>
      </c>
      <c r="AZ10" s="3">
        <f t="shared" ref="AZ10:BF10" si="17">AZ5*AZ16</f>
        <v>178.56</v>
      </c>
      <c r="BA10" s="3">
        <f t="shared" si="17"/>
        <v>177.66000000000003</v>
      </c>
      <c r="BB10" s="3">
        <f t="shared" si="17"/>
        <v>0</v>
      </c>
      <c r="BC10" s="3">
        <f t="shared" si="17"/>
        <v>0</v>
      </c>
      <c r="BD10" s="3">
        <f t="shared" si="17"/>
        <v>0</v>
      </c>
      <c r="BE10" s="3">
        <f t="shared" si="17"/>
        <v>0</v>
      </c>
      <c r="BF10" s="3">
        <f t="shared" si="17"/>
        <v>0</v>
      </c>
      <c r="BG10" s="3">
        <f t="shared" ref="BG10:BO10" si="18">BG5*BG16</f>
        <v>0</v>
      </c>
      <c r="BH10" s="3">
        <f t="shared" si="18"/>
        <v>0</v>
      </c>
      <c r="BI10" s="3">
        <f t="shared" si="18"/>
        <v>0</v>
      </c>
      <c r="BJ10" s="3">
        <f t="shared" si="18"/>
        <v>0</v>
      </c>
      <c r="BK10" s="3">
        <f t="shared" si="18"/>
        <v>0</v>
      </c>
      <c r="BL10" s="3">
        <f t="shared" si="18"/>
        <v>0</v>
      </c>
      <c r="BM10" s="3">
        <f t="shared" si="18"/>
        <v>0</v>
      </c>
      <c r="BN10" s="3">
        <f t="shared" si="18"/>
        <v>0</v>
      </c>
      <c r="BO10" s="3">
        <f t="shared" si="18"/>
        <v>3994.92</v>
      </c>
      <c r="BP10" s="3">
        <f>BP5*BP16</f>
        <v>0</v>
      </c>
      <c r="BQ10" s="3">
        <f t="shared" ref="BQ10:BX10" si="19">BQ5*BQ16</f>
        <v>316.44</v>
      </c>
      <c r="BR10" s="3">
        <f t="shared" si="19"/>
        <v>305.28000000000003</v>
      </c>
      <c r="BS10" s="3">
        <f t="shared" si="19"/>
        <v>137.20000000000002</v>
      </c>
      <c r="BT10" s="3">
        <f t="shared" si="19"/>
        <v>647.68000000000006</v>
      </c>
      <c r="BU10" s="3">
        <f t="shared" si="19"/>
        <v>487.32</v>
      </c>
      <c r="BV10" s="3">
        <f t="shared" si="19"/>
        <v>384.55999999999995</v>
      </c>
      <c r="BW10" s="3">
        <f t="shared" si="19"/>
        <v>513.88</v>
      </c>
      <c r="BX10" s="3">
        <f t="shared" si="19"/>
        <v>0</v>
      </c>
      <c r="BY10" s="3">
        <f t="shared" ref="BY10:CD10" si="20">BY5*BY16</f>
        <v>0</v>
      </c>
      <c r="BZ10" s="3">
        <f t="shared" si="20"/>
        <v>0</v>
      </c>
      <c r="CA10" s="3">
        <f t="shared" si="20"/>
        <v>0</v>
      </c>
      <c r="CB10" s="3">
        <f t="shared" si="20"/>
        <v>0</v>
      </c>
      <c r="CC10" s="3">
        <f>CC5*CC16</f>
        <v>0</v>
      </c>
      <c r="CD10" s="3">
        <f t="shared" si="20"/>
        <v>0</v>
      </c>
      <c r="CE10" s="3">
        <f t="shared" ref="CE10" si="21">CE5*CE16</f>
        <v>0</v>
      </c>
      <c r="CF10" s="3">
        <f>CF5*CF16</f>
        <v>0</v>
      </c>
      <c r="CG10" s="3">
        <f t="shared" ref="CG10:CM10" si="22">CG5*CG16</f>
        <v>96.199999999999989</v>
      </c>
      <c r="CH10" s="3">
        <f t="shared" si="22"/>
        <v>78.960000000000008</v>
      </c>
      <c r="CI10" s="3">
        <f t="shared" si="22"/>
        <v>85.33</v>
      </c>
      <c r="CJ10" s="3">
        <f t="shared" si="22"/>
        <v>87.100000000000009</v>
      </c>
      <c r="CK10" s="3">
        <f t="shared" si="22"/>
        <v>0</v>
      </c>
      <c r="CL10" s="3">
        <f t="shared" si="22"/>
        <v>0</v>
      </c>
      <c r="CM10" s="3">
        <f t="shared" si="22"/>
        <v>0</v>
      </c>
      <c r="CN10" s="3"/>
    </row>
    <row r="11" spans="1:105">
      <c r="A11" s="11" t="s">
        <v>24</v>
      </c>
      <c r="B11" s="4">
        <f>B10/B9</f>
        <v>6.598375448481282E-2</v>
      </c>
      <c r="C11" s="4">
        <f t="shared" ref="C11:I11" si="23">C10/C9</f>
        <v>0.16125113098697927</v>
      </c>
      <c r="D11" s="4">
        <f t="shared" si="23"/>
        <v>0.55007256102218294</v>
      </c>
      <c r="E11" s="4">
        <f t="shared" si="23"/>
        <v>0.29339964380291345</v>
      </c>
      <c r="F11" s="4" t="str">
        <f>IFERROR(F10/F9,"")</f>
        <v/>
      </c>
      <c r="G11" s="4">
        <f t="shared" si="23"/>
        <v>0.11371524040095887</v>
      </c>
      <c r="H11" s="4">
        <f t="shared" si="23"/>
        <v>7.4637796878861865E-2</v>
      </c>
      <c r="I11" s="4">
        <f t="shared" si="23"/>
        <v>9.3220993696801147E-2</v>
      </c>
      <c r="J11" s="4">
        <f t="shared" ref="J11:L11" si="24">J10/J9</f>
        <v>9.0157610713647016E-2</v>
      </c>
      <c r="K11" s="4">
        <f t="shared" si="24"/>
        <v>9.6880773332114353E-2</v>
      </c>
      <c r="L11" s="4">
        <f t="shared" si="24"/>
        <v>0.81607421874999997</v>
      </c>
      <c r="M11" s="4" t="str">
        <f>IFERROR(M10/M9,"")</f>
        <v/>
      </c>
      <c r="N11" s="4" t="str">
        <f t="shared" ref="N11:W11" si="25">IFERROR(N10/N9,"")</f>
        <v/>
      </c>
      <c r="O11" s="4" t="str">
        <f>IFERROR(O10/O9,"")</f>
        <v/>
      </c>
      <c r="P11" s="4" t="str">
        <f t="shared" ref="P11" si="26">IFERROR(P10/P9,"")</f>
        <v/>
      </c>
      <c r="Q11" s="4">
        <f t="shared" si="25"/>
        <v>0.17305226530799805</v>
      </c>
      <c r="R11" s="4">
        <f t="shared" si="25"/>
        <v>0.11423277751764457</v>
      </c>
      <c r="S11" s="4">
        <f t="shared" si="25"/>
        <v>0.14391614304990469</v>
      </c>
      <c r="T11" s="4" t="str">
        <f t="shared" si="25"/>
        <v/>
      </c>
      <c r="U11" s="4" t="str">
        <f t="shared" si="25"/>
        <v/>
      </c>
      <c r="V11" s="4">
        <f t="shared" si="25"/>
        <v>4.0478740661401641E-2</v>
      </c>
      <c r="W11" s="4">
        <f t="shared" si="25"/>
        <v>0.20802287902903632</v>
      </c>
      <c r="X11" s="4" t="str">
        <f t="shared" ref="X11" si="27">IFERROR(X10/X9,"")</f>
        <v/>
      </c>
      <c r="Y11" s="4" t="str">
        <f t="shared" ref="Y11:Z11" si="28">IFERROR(Y10/Y9,"")</f>
        <v/>
      </c>
      <c r="Z11" s="4" t="str">
        <f t="shared" si="28"/>
        <v/>
      </c>
      <c r="AA11" s="4" t="str">
        <f t="shared" ref="AA11:AC11" si="29">IFERROR(AA10/AA9,"")</f>
        <v/>
      </c>
      <c r="AB11" s="4">
        <f t="shared" si="29"/>
        <v>2.5476382221827659E-2</v>
      </c>
      <c r="AC11" s="4">
        <f t="shared" si="29"/>
        <v>8.953757009238239E-2</v>
      </c>
      <c r="AD11" s="4" t="str">
        <f t="shared" ref="AD11:AF11" si="30">IFERROR(AD10/AD9,"")</f>
        <v/>
      </c>
      <c r="AE11" s="4">
        <f t="shared" si="30"/>
        <v>0.12369044446729179</v>
      </c>
      <c r="AF11" s="4">
        <f t="shared" si="30"/>
        <v>2.7099129227322154E-2</v>
      </c>
      <c r="AG11" s="4" t="str">
        <f t="shared" ref="AG11:AH11" si="31">IFERROR(AG10/AG9,"")</f>
        <v/>
      </c>
      <c r="AH11" s="4" t="str">
        <f t="shared" si="31"/>
        <v/>
      </c>
      <c r="AI11" s="4" t="str">
        <f t="shared" ref="AI11" si="32">IFERROR(AI10/AI9,"")</f>
        <v/>
      </c>
      <c r="AJ11" s="4">
        <f t="shared" ref="AJ11:AO11" si="33">IFERROR(AJ10/AJ9,"")</f>
        <v>4.9638737235017896E-2</v>
      </c>
      <c r="AK11" s="4">
        <f t="shared" si="33"/>
        <v>0.10319674093353315</v>
      </c>
      <c r="AL11" s="4" t="str">
        <f t="shared" si="33"/>
        <v/>
      </c>
      <c r="AM11" s="4" t="str">
        <f t="shared" si="33"/>
        <v/>
      </c>
      <c r="AN11" s="4">
        <f t="shared" si="33"/>
        <v>2.7899855720070272E-2</v>
      </c>
      <c r="AO11" s="4">
        <f t="shared" si="33"/>
        <v>1.4783940820072597E-2</v>
      </c>
      <c r="AP11" s="4">
        <f>IFERROR(AP10/AP9,"")</f>
        <v>7.9554549475873815E-2</v>
      </c>
      <c r="AQ11" s="4" t="str">
        <f t="shared" ref="AQ11:AY11" si="34">IFERROR(AQ10/AQ9,"")</f>
        <v/>
      </c>
      <c r="AR11" s="4" t="str">
        <f t="shared" si="34"/>
        <v/>
      </c>
      <c r="AS11" s="4" t="str">
        <f t="shared" si="34"/>
        <v/>
      </c>
      <c r="AT11" s="4" t="str">
        <f t="shared" ref="AT11" si="35">IFERROR(AT10/AT9,"")</f>
        <v/>
      </c>
      <c r="AU11" s="4" t="str">
        <f t="shared" ref="AU11" si="36">IFERROR(AU10/AU9,"")</f>
        <v/>
      </c>
      <c r="AV11" s="4" t="str">
        <f>IFERROR(AV10/AV9,"")</f>
        <v/>
      </c>
      <c r="AW11" s="4" t="str">
        <f>IFERROR(AW10/AW9,"")</f>
        <v/>
      </c>
      <c r="AX11" s="4" t="str">
        <f>IFERROR(AX10/AX9,"")</f>
        <v/>
      </c>
      <c r="AY11" s="4" t="str">
        <f t="shared" si="34"/>
        <v/>
      </c>
      <c r="AZ11" s="4" t="str">
        <f t="shared" ref="AZ11:BF11" si="37">IFERROR(AZ10/AZ9,"")</f>
        <v/>
      </c>
      <c r="BA11" s="4" t="str">
        <f t="shared" si="37"/>
        <v/>
      </c>
      <c r="BB11" s="4" t="str">
        <f t="shared" si="37"/>
        <v/>
      </c>
      <c r="BC11" s="4" t="str">
        <f t="shared" si="37"/>
        <v/>
      </c>
      <c r="BD11" s="4" t="str">
        <f t="shared" si="37"/>
        <v/>
      </c>
      <c r="BE11" s="4" t="str">
        <f t="shared" si="37"/>
        <v/>
      </c>
      <c r="BF11" s="4" t="str">
        <f t="shared" si="37"/>
        <v/>
      </c>
      <c r="BG11" s="4" t="str">
        <f t="shared" ref="BG11:BO11" si="38">IFERROR(BG10/BG9,"")</f>
        <v/>
      </c>
      <c r="BH11" s="4" t="str">
        <f t="shared" si="38"/>
        <v/>
      </c>
      <c r="BI11" s="4" t="str">
        <f t="shared" si="38"/>
        <v/>
      </c>
      <c r="BJ11" s="4" t="str">
        <f t="shared" si="38"/>
        <v/>
      </c>
      <c r="BK11" s="4" t="str">
        <f t="shared" si="38"/>
        <v/>
      </c>
      <c r="BL11" s="4" t="str">
        <f t="shared" si="38"/>
        <v/>
      </c>
      <c r="BM11" s="4" t="str">
        <f t="shared" si="38"/>
        <v/>
      </c>
      <c r="BN11" s="4" t="str">
        <f t="shared" si="38"/>
        <v/>
      </c>
      <c r="BO11" s="4" t="str">
        <f t="shared" si="38"/>
        <v/>
      </c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</row>
    <row r="12" spans="1:105">
      <c r="A12" s="11" t="s">
        <v>22</v>
      </c>
      <c r="B12" s="5">
        <f t="shared" ref="B12:D12" si="39">B9/B8</f>
        <v>30492.353999999999</v>
      </c>
      <c r="C12" s="5">
        <f t="shared" si="39"/>
        <v>15685.967500000001</v>
      </c>
      <c r="D12" s="5">
        <f t="shared" si="39"/>
        <v>16496.46</v>
      </c>
      <c r="E12" s="5">
        <f t="shared" ref="E12" si="40">E9/E8</f>
        <v>17366.79</v>
      </c>
      <c r="F12" s="5" t="str">
        <f>IFERROR(F9/F8,"")</f>
        <v/>
      </c>
      <c r="G12" s="5">
        <f>G9/G8</f>
        <v>16814.492000000002</v>
      </c>
      <c r="H12" s="5">
        <f t="shared" ref="H12" si="41">H9/H8</f>
        <v>17606.718333333334</v>
      </c>
      <c r="I12" s="5">
        <f>I9/I8</f>
        <v>74815.98</v>
      </c>
      <c r="J12" s="5">
        <f t="shared" ref="J12:L12" si="42">J9/J8</f>
        <v>74815.98</v>
      </c>
      <c r="K12" s="5">
        <f t="shared" si="42"/>
        <v>74815.98</v>
      </c>
      <c r="L12" s="5">
        <f t="shared" si="42"/>
        <v>12800</v>
      </c>
      <c r="M12" s="6" t="str">
        <f>IFERROR(M9/M8,"")</f>
        <v/>
      </c>
      <c r="N12" s="6" t="str">
        <f t="shared" ref="N12:W12" si="43">IFERROR(N9/N8,"")</f>
        <v/>
      </c>
      <c r="O12" s="6" t="str">
        <f>IFERROR(O9/O8,"")</f>
        <v/>
      </c>
      <c r="P12" s="6" t="str">
        <f t="shared" ref="P12" si="44">IFERROR(P9/P8,"")</f>
        <v/>
      </c>
      <c r="Q12" s="6">
        <f t="shared" si="43"/>
        <v>12866.5175</v>
      </c>
      <c r="R12" s="6">
        <f t="shared" si="43"/>
        <v>16359.14</v>
      </c>
      <c r="S12" s="6">
        <f t="shared" si="43"/>
        <v>12606.23</v>
      </c>
      <c r="T12" s="6" t="str">
        <f t="shared" si="43"/>
        <v/>
      </c>
      <c r="U12" s="6" t="str">
        <f t="shared" si="43"/>
        <v/>
      </c>
      <c r="V12" s="6">
        <f t="shared" si="43"/>
        <v>11250.35</v>
      </c>
      <c r="W12" s="6">
        <f t="shared" si="43"/>
        <v>13141.583333333334</v>
      </c>
      <c r="X12" s="6" t="str">
        <f t="shared" ref="X12" si="45">IFERROR(X9/X8,"")</f>
        <v/>
      </c>
      <c r="Y12" s="6" t="str">
        <f t="shared" ref="Y12:Z12" si="46">IFERROR(Y9/Y8,"")</f>
        <v/>
      </c>
      <c r="Z12" s="6" t="str">
        <f t="shared" si="46"/>
        <v/>
      </c>
      <c r="AA12" s="6" t="str">
        <f t="shared" ref="AA12:AC12" si="47">IFERROR(AA9/AA8,"")</f>
        <v/>
      </c>
      <c r="AB12" s="6">
        <f t="shared" si="47"/>
        <v>13141.583333333334</v>
      </c>
      <c r="AC12" s="6">
        <f t="shared" si="47"/>
        <v>17378.850000000002</v>
      </c>
      <c r="AD12" s="6" t="str">
        <f t="shared" ref="AD12:AF12" si="48">IFERROR(AD9/AD8,"")</f>
        <v/>
      </c>
      <c r="AE12" s="6">
        <f t="shared" si="48"/>
        <v>9531.86</v>
      </c>
      <c r="AF12" s="6">
        <f t="shared" si="48"/>
        <v>21302.345000000001</v>
      </c>
      <c r="AG12" s="6" t="str">
        <f t="shared" ref="AG12:AH12" si="49">IFERROR(AG9/AG8,"")</f>
        <v/>
      </c>
      <c r="AH12" s="6" t="str">
        <f t="shared" si="49"/>
        <v/>
      </c>
      <c r="AI12" s="6" t="str">
        <f t="shared" ref="AI12" si="50">IFERROR(AI9/AI8,"")</f>
        <v/>
      </c>
      <c r="AJ12" s="6">
        <f>IFERROR(AJ9/AJ8,"")</f>
        <v>15702.79</v>
      </c>
      <c r="AK12" s="6">
        <f t="shared" ref="AK12:AO12" si="51">IFERROR(AK9/AK8,"")</f>
        <v>9482.4699999999993</v>
      </c>
      <c r="AL12" s="6" t="str">
        <f t="shared" si="51"/>
        <v/>
      </c>
      <c r="AM12" s="6" t="str">
        <f t="shared" si="51"/>
        <v/>
      </c>
      <c r="AN12" s="6">
        <f t="shared" si="51"/>
        <v>13753.356666666667</v>
      </c>
      <c r="AO12" s="6">
        <f t="shared" si="51"/>
        <v>21737.1</v>
      </c>
      <c r="AP12" s="6">
        <f>IFERROR(AP9/AP8,"")</f>
        <v>12781.846000000001</v>
      </c>
      <c r="AQ12" s="6" t="str">
        <f t="shared" ref="AQ12:AY12" si="52">IFERROR(AQ9/AQ8,"")</f>
        <v/>
      </c>
      <c r="AR12" s="6" t="str">
        <f t="shared" si="52"/>
        <v/>
      </c>
      <c r="AS12" s="6" t="str">
        <f t="shared" si="52"/>
        <v/>
      </c>
      <c r="AT12" s="6" t="str">
        <f t="shared" ref="AT12" si="53">IFERROR(AT9/AT8,"")</f>
        <v/>
      </c>
      <c r="AU12" s="6" t="str">
        <f t="shared" ref="AU12" si="54">IFERROR(AU9/AU8,"")</f>
        <v/>
      </c>
      <c r="AV12" s="6" t="str">
        <f>IFERROR(AV9/AV8,"")</f>
        <v/>
      </c>
      <c r="AW12" s="6" t="str">
        <f>IFERROR(AW9/AW8,"")</f>
        <v/>
      </c>
      <c r="AX12" s="6" t="str">
        <f>IFERROR(AX9/AX8,"")</f>
        <v/>
      </c>
      <c r="AY12" s="6" t="str">
        <f t="shared" si="52"/>
        <v/>
      </c>
      <c r="AZ12" s="6" t="str">
        <f t="shared" ref="AZ12:BF12" si="55">IFERROR(AZ9/AZ8,"")</f>
        <v/>
      </c>
      <c r="BA12" s="6" t="str">
        <f t="shared" si="55"/>
        <v/>
      </c>
      <c r="BB12" s="6" t="str">
        <f t="shared" si="55"/>
        <v/>
      </c>
      <c r="BC12" s="6">
        <f t="shared" si="55"/>
        <v>0</v>
      </c>
      <c r="BD12" s="6" t="str">
        <f t="shared" si="55"/>
        <v/>
      </c>
      <c r="BE12" s="6" t="str">
        <f t="shared" si="55"/>
        <v/>
      </c>
      <c r="BF12" s="6" t="str">
        <f t="shared" si="55"/>
        <v/>
      </c>
      <c r="BG12" s="6" t="str">
        <f t="shared" ref="BG12:BO12" si="56">IFERROR(BG9/BG8,"")</f>
        <v/>
      </c>
      <c r="BH12" s="6" t="str">
        <f t="shared" si="56"/>
        <v/>
      </c>
      <c r="BI12" s="6" t="str">
        <f t="shared" si="56"/>
        <v/>
      </c>
      <c r="BJ12" s="6" t="str">
        <f t="shared" si="56"/>
        <v/>
      </c>
      <c r="BK12" s="6" t="str">
        <f t="shared" si="56"/>
        <v/>
      </c>
      <c r="BL12" s="6" t="str">
        <f t="shared" si="56"/>
        <v/>
      </c>
      <c r="BM12" s="6" t="str">
        <f t="shared" si="56"/>
        <v/>
      </c>
      <c r="BN12" s="6" t="str">
        <f t="shared" si="56"/>
        <v/>
      </c>
      <c r="BO12" s="6" t="str">
        <f t="shared" si="56"/>
        <v/>
      </c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</row>
    <row r="13" spans="1:105">
      <c r="A13" s="11" t="s">
        <v>9</v>
      </c>
      <c r="B13" s="14">
        <f>B6/B5</f>
        <v>0.17693836978131214</v>
      </c>
      <c r="C13" s="14">
        <f t="shared" ref="C13:H13" si="57">C6/C5</f>
        <v>0.22953451043338685</v>
      </c>
      <c r="D13" s="14">
        <f t="shared" si="57"/>
        <v>0.12792792792792793</v>
      </c>
      <c r="E13" s="14">
        <f t="shared" si="57"/>
        <v>8.0906148867313912E-2</v>
      </c>
      <c r="F13" s="14">
        <f t="shared" si="57"/>
        <v>0.11383537653239929</v>
      </c>
      <c r="G13" s="14">
        <f t="shared" si="57"/>
        <v>0.12012987012987013</v>
      </c>
      <c r="H13" s="14">
        <f t="shared" si="57"/>
        <v>0.17898832684824903</v>
      </c>
      <c r="I13" s="14">
        <f t="shared" ref="I13" si="58">I6/I5</f>
        <v>6.9395017793594305E-2</v>
      </c>
      <c r="J13" s="14">
        <f t="shared" ref="J13:L13" si="59">J6/J5</f>
        <v>7.1570576540755465E-2</v>
      </c>
      <c r="K13" s="14">
        <f t="shared" si="59"/>
        <v>7.1570576540755465E-2</v>
      </c>
      <c r="L13" s="36">
        <f t="shared" si="59"/>
        <v>0.10042553191489362</v>
      </c>
      <c r="M13" s="36" t="e">
        <f>M6/M5</f>
        <v>#DIV/0!</v>
      </c>
      <c r="N13" s="36" t="e">
        <f t="shared" ref="N13:Q13" si="60">N6/N5</f>
        <v>#DIV/0!</v>
      </c>
      <c r="O13" s="36" t="e">
        <f>O6/O5</f>
        <v>#DIV/0!</v>
      </c>
      <c r="P13" s="36" t="e">
        <f t="shared" ref="P13" si="61">P6/P5</f>
        <v>#DIV/0!</v>
      </c>
      <c r="Q13" s="36">
        <f t="shared" si="60"/>
        <v>0.12576687116564417</v>
      </c>
      <c r="R13" s="36">
        <f t="shared" ref="R13:S13" si="62">R6/R5</f>
        <v>0.11076923076923077</v>
      </c>
      <c r="S13" s="36">
        <f t="shared" si="62"/>
        <v>0.24632352941176472</v>
      </c>
      <c r="T13" s="36">
        <f t="shared" ref="T13:U13" si="63">T6/T5</f>
        <v>7.7519379844961239E-2</v>
      </c>
      <c r="U13" s="36">
        <f t="shared" si="63"/>
        <v>8.8145896656534953E-2</v>
      </c>
      <c r="V13" s="36">
        <f t="shared" ref="V13:X13" si="64">V6/V5</f>
        <v>0.10833333333333334</v>
      </c>
      <c r="W13" s="36">
        <f t="shared" si="64"/>
        <v>0.10699588477366255</v>
      </c>
      <c r="X13" s="36">
        <f t="shared" si="64"/>
        <v>0.12</v>
      </c>
      <c r="Y13" s="36">
        <f t="shared" ref="Y13:Z13" si="65">Y6/Y5</f>
        <v>9.7378277153558054E-2</v>
      </c>
      <c r="Z13" s="36">
        <f t="shared" si="65"/>
        <v>0.11162790697674418</v>
      </c>
      <c r="AA13" s="36">
        <f t="shared" ref="AA13:AC13" si="66">AA6/AA5</f>
        <v>0.109375</v>
      </c>
      <c r="AB13" s="36">
        <f t="shared" si="66"/>
        <v>0.14814814814814814</v>
      </c>
      <c r="AC13" s="36">
        <f t="shared" si="66"/>
        <v>0.13636363636363635</v>
      </c>
      <c r="AD13" s="36">
        <f t="shared" ref="AD13:AF13" si="67">AD6/AD5</f>
        <v>0.1</v>
      </c>
      <c r="AE13" s="36">
        <f t="shared" si="67"/>
        <v>0.17222222222222222</v>
      </c>
      <c r="AF13" s="36">
        <f t="shared" si="67"/>
        <v>0.19553072625698323</v>
      </c>
      <c r="AG13" s="36">
        <f t="shared" ref="AG13:AH13" si="68">AG6/AG5</f>
        <v>0.12154696132596685</v>
      </c>
      <c r="AH13" s="36">
        <f t="shared" si="68"/>
        <v>6.0810810810810814E-2</v>
      </c>
      <c r="AI13" s="36">
        <f t="shared" ref="AI13" si="69">AI6/AI5</f>
        <v>0</v>
      </c>
      <c r="AJ13" s="36">
        <f t="shared" ref="AJ13:AO13" si="70">AJ6/AJ5</f>
        <v>0.23817567567567569</v>
      </c>
      <c r="AK13" s="36">
        <f t="shared" si="70"/>
        <v>0.20143884892086331</v>
      </c>
      <c r="AL13" s="36">
        <f t="shared" si="70"/>
        <v>0.22941176470588234</v>
      </c>
      <c r="AM13" s="36">
        <f t="shared" si="70"/>
        <v>0.22142857142857142</v>
      </c>
      <c r="AN13" s="36">
        <f t="shared" si="70"/>
        <v>0.1391304347826087</v>
      </c>
      <c r="AO13" s="36">
        <f t="shared" si="70"/>
        <v>0.24358974358974358</v>
      </c>
      <c r="AP13" s="36">
        <f t="shared" ref="AP13:AY13" si="71">AP6/AP5</f>
        <v>0.28495339547270304</v>
      </c>
      <c r="AQ13" s="36">
        <f t="shared" si="71"/>
        <v>0</v>
      </c>
      <c r="AR13" s="36">
        <f t="shared" si="71"/>
        <v>0.31521739130434784</v>
      </c>
      <c r="AS13" s="36">
        <f t="shared" si="71"/>
        <v>0.20224719101123595</v>
      </c>
      <c r="AT13" s="36">
        <f t="shared" ref="AT13" si="72">AT6/AT5</f>
        <v>0.2</v>
      </c>
      <c r="AU13" s="36">
        <f t="shared" ref="AU13" si="73">AU6/AU5</f>
        <v>0.2857142857142857</v>
      </c>
      <c r="AV13" s="36">
        <f>AV6/AV5</f>
        <v>0.34782608695652173</v>
      </c>
      <c r="AW13" s="36">
        <f>AW6/AW5</f>
        <v>0.31428571428571428</v>
      </c>
      <c r="AX13" s="36">
        <f>AX6/AX5</f>
        <v>0.21951219512195122</v>
      </c>
      <c r="AY13" s="36">
        <f t="shared" si="71"/>
        <v>0.27751196172248804</v>
      </c>
      <c r="AZ13" s="36">
        <f t="shared" ref="AZ13:BF13" si="74">AZ6/AZ5</f>
        <v>0.16666666666666666</v>
      </c>
      <c r="BA13" s="36">
        <f t="shared" si="74"/>
        <v>0.33333333333333331</v>
      </c>
      <c r="BB13" s="36">
        <f t="shared" si="74"/>
        <v>0.2</v>
      </c>
      <c r="BC13" s="36">
        <f t="shared" si="74"/>
        <v>0.18421052631578946</v>
      </c>
      <c r="BD13" s="36">
        <f t="shared" si="74"/>
        <v>0.35</v>
      </c>
      <c r="BE13" s="36">
        <f t="shared" si="74"/>
        <v>0.43333333333333335</v>
      </c>
      <c r="BF13" s="36">
        <f t="shared" si="74"/>
        <v>0.26666666666666666</v>
      </c>
      <c r="BG13" s="36">
        <f t="shared" ref="BG13:BO13" si="75">BG6/BG5</f>
        <v>0.25615763546798032</v>
      </c>
      <c r="BH13" s="36">
        <f t="shared" si="75"/>
        <v>0.2</v>
      </c>
      <c r="BI13" s="36">
        <f t="shared" si="75"/>
        <v>0.2</v>
      </c>
      <c r="BJ13" s="36">
        <f t="shared" si="75"/>
        <v>0.35483870967741937</v>
      </c>
      <c r="BK13" s="36">
        <f t="shared" si="75"/>
        <v>0.13043478260869565</v>
      </c>
      <c r="BL13" s="36">
        <f t="shared" si="75"/>
        <v>0.3888888888888889</v>
      </c>
      <c r="BM13" s="36">
        <f t="shared" si="75"/>
        <v>0.22580645161290322</v>
      </c>
      <c r="BN13" s="36">
        <f t="shared" si="75"/>
        <v>0.33333333333333331</v>
      </c>
      <c r="BO13" s="36">
        <f t="shared" si="75"/>
        <v>0.21167883211678831</v>
      </c>
      <c r="BP13" s="36">
        <f t="shared" ref="BP13:CN13" si="76">BP6/BP5</f>
        <v>0.22872340425531915</v>
      </c>
      <c r="BQ13" s="36">
        <f t="shared" si="76"/>
        <v>0.18518518518518517</v>
      </c>
      <c r="BR13" s="36">
        <f t="shared" si="76"/>
        <v>0.25</v>
      </c>
      <c r="BS13" s="36">
        <f t="shared" si="76"/>
        <v>0.6</v>
      </c>
      <c r="BT13" s="36">
        <f t="shared" si="76"/>
        <v>6.8181818181818177E-2</v>
      </c>
      <c r="BU13" s="36">
        <f t="shared" si="76"/>
        <v>0.25806451612903225</v>
      </c>
      <c r="BV13" s="36">
        <f t="shared" si="76"/>
        <v>0.34782608695652173</v>
      </c>
      <c r="BW13" s="36">
        <f t="shared" si="76"/>
        <v>0.2413793103448276</v>
      </c>
      <c r="BX13" s="36">
        <f t="shared" si="76"/>
        <v>0.18461538461538463</v>
      </c>
      <c r="BY13" s="36">
        <f t="shared" ref="BY13:CD13" si="77">BY6/BY5</f>
        <v>0.21739130434782608</v>
      </c>
      <c r="BZ13" s="36">
        <f t="shared" si="77"/>
        <v>0.25</v>
      </c>
      <c r="CA13" s="36" t="e">
        <f t="shared" si="77"/>
        <v>#DIV/0!</v>
      </c>
      <c r="CB13" s="36">
        <f t="shared" si="77"/>
        <v>8.6956521739130432E-2</v>
      </c>
      <c r="CC13" s="36">
        <f t="shared" si="77"/>
        <v>0.16666666666666666</v>
      </c>
      <c r="CD13" s="36">
        <f t="shared" si="77"/>
        <v>0.13043478260869565</v>
      </c>
      <c r="CE13" s="36">
        <f t="shared" ref="CE13" si="78">CE6/CE5</f>
        <v>0.33333333333333331</v>
      </c>
      <c r="CF13" s="36">
        <f t="shared" si="76"/>
        <v>0.21505376344086022</v>
      </c>
      <c r="CG13" s="36">
        <f t="shared" si="76"/>
        <v>0.25</v>
      </c>
      <c r="CH13" s="36">
        <f t="shared" ref="CH13:CM13" si="79">CH6/CH5</f>
        <v>8.3333333333333329E-2</v>
      </c>
      <c r="CI13" s="36">
        <f t="shared" si="79"/>
        <v>0.2608695652173913</v>
      </c>
      <c r="CJ13" s="36">
        <f t="shared" si="79"/>
        <v>0.26923076923076922</v>
      </c>
      <c r="CK13" s="36">
        <f t="shared" si="79"/>
        <v>8.3333333333333329E-2</v>
      </c>
      <c r="CL13" s="36" t="e">
        <f t="shared" si="79"/>
        <v>#DIV/0!</v>
      </c>
      <c r="CM13" s="36" t="e">
        <f t="shared" si="79"/>
        <v>#DIV/0!</v>
      </c>
      <c r="CN13" s="36" t="e">
        <f t="shared" si="76"/>
        <v>#DIV/0!</v>
      </c>
    </row>
    <row r="14" spans="1:105">
      <c r="A14" s="11" t="s">
        <v>5</v>
      </c>
      <c r="B14" s="14">
        <f t="shared" ref="B14:H14" si="80">B7/B5</f>
        <v>0.21073558648111332</v>
      </c>
      <c r="C14" s="14">
        <f t="shared" si="80"/>
        <v>0.2391653290529695</v>
      </c>
      <c r="D14" s="14">
        <f t="shared" si="80"/>
        <v>0.1063063063063063</v>
      </c>
      <c r="E14" s="14">
        <f t="shared" si="80"/>
        <v>7.9288025889967639E-2</v>
      </c>
      <c r="F14" s="14">
        <f t="shared" si="80"/>
        <v>0.11208406304728546</v>
      </c>
      <c r="G14" s="14">
        <f t="shared" si="80"/>
        <v>9.4155844155844159E-2</v>
      </c>
      <c r="H14" s="14">
        <f t="shared" si="80"/>
        <v>0.12645914396887159</v>
      </c>
      <c r="I14" s="14">
        <f t="shared" ref="I14:M14" si="81">I7/I5</f>
        <v>4.2704626334519574E-2</v>
      </c>
      <c r="J14" s="14">
        <f t="shared" ref="J14:L14" si="82">J7/J5</f>
        <v>4.7713717693836977E-2</v>
      </c>
      <c r="K14" s="14">
        <f t="shared" si="82"/>
        <v>4.7713717693836977E-2</v>
      </c>
      <c r="L14" s="37">
        <f t="shared" si="82"/>
        <v>6.3829787234042548E-2</v>
      </c>
      <c r="M14" s="37" t="e">
        <f t="shared" si="81"/>
        <v>#DIV/0!</v>
      </c>
      <c r="N14" s="37" t="e">
        <f t="shared" ref="N14:Q14" si="83">N7/N5</f>
        <v>#DIV/0!</v>
      </c>
      <c r="O14" s="37" t="e">
        <f t="shared" si="83"/>
        <v>#DIV/0!</v>
      </c>
      <c r="P14" s="37" t="e">
        <f t="shared" ref="P14" si="84">P7/P5</f>
        <v>#DIV/0!</v>
      </c>
      <c r="Q14" s="37">
        <f t="shared" si="83"/>
        <v>8.2055214723926378E-2</v>
      </c>
      <c r="R14" s="37">
        <f t="shared" ref="R14:S14" si="85">R7/R5</f>
        <v>6.7692307692307691E-2</v>
      </c>
      <c r="S14" s="37">
        <f t="shared" si="85"/>
        <v>0.14705882352941177</v>
      </c>
      <c r="T14" s="37">
        <f t="shared" ref="T14:U14" si="86">T7/T5</f>
        <v>5.4263565891472867E-2</v>
      </c>
      <c r="U14" s="37">
        <f t="shared" si="86"/>
        <v>6.6869300911854099E-2</v>
      </c>
      <c r="V14" s="37">
        <f t="shared" ref="V14:X14" si="87">V7/V5</f>
        <v>7.4999999999999997E-2</v>
      </c>
      <c r="W14" s="37">
        <f t="shared" si="87"/>
        <v>7.6543209876543214E-2</v>
      </c>
      <c r="X14" s="37">
        <f t="shared" si="87"/>
        <v>9.7142857142857142E-2</v>
      </c>
      <c r="Y14" s="37">
        <f t="shared" ref="Y14:Z14" si="88">Y7/Y5</f>
        <v>7.116104868913857E-2</v>
      </c>
      <c r="Z14" s="37">
        <f t="shared" si="88"/>
        <v>5.5813953488372092E-2</v>
      </c>
      <c r="AA14" s="37">
        <f t="shared" ref="AA14:AC14" si="89">AA7/AA5</f>
        <v>7.4999999999999997E-2</v>
      </c>
      <c r="AB14" s="37">
        <f t="shared" si="89"/>
        <v>0.11728395061728394</v>
      </c>
      <c r="AC14" s="37">
        <f t="shared" si="89"/>
        <v>0.10743801652892562</v>
      </c>
      <c r="AD14" s="37">
        <f t="shared" ref="AD14:AF14" si="90">AD7/AD5</f>
        <v>0.05</v>
      </c>
      <c r="AE14" s="37">
        <f t="shared" si="90"/>
        <v>0.16111111111111112</v>
      </c>
      <c r="AF14" s="37">
        <f t="shared" si="90"/>
        <v>0.13966480446927373</v>
      </c>
      <c r="AG14" s="37">
        <f t="shared" ref="AG14:AH14" si="91">AG7/AG5</f>
        <v>0.11602209944751381</v>
      </c>
      <c r="AH14" s="37">
        <f t="shared" si="91"/>
        <v>1.3513513513513514E-2</v>
      </c>
      <c r="AI14" s="37">
        <f t="shared" ref="AI14" si="92">AI7/AI5</f>
        <v>0</v>
      </c>
      <c r="AJ14" s="37">
        <f t="shared" ref="AJ14:AO14" si="93">AJ7/AJ5</f>
        <v>0.1875</v>
      </c>
      <c r="AK14" s="37">
        <f t="shared" si="93"/>
        <v>0.18705035971223022</v>
      </c>
      <c r="AL14" s="37">
        <f t="shared" si="93"/>
        <v>0.18823529411764706</v>
      </c>
      <c r="AM14" s="37">
        <f t="shared" si="93"/>
        <v>0.18571428571428572</v>
      </c>
      <c r="AN14" s="37">
        <f t="shared" si="93"/>
        <v>0.10434782608695652</v>
      </c>
      <c r="AO14" s="37">
        <f t="shared" si="93"/>
        <v>0.20512820512820512</v>
      </c>
      <c r="AP14" s="39">
        <f t="shared" ref="AP14:AY14" si="94">AP7/AP5</f>
        <v>0.16777629826897469</v>
      </c>
      <c r="AQ14" s="39">
        <f t="shared" si="94"/>
        <v>0</v>
      </c>
      <c r="AR14" s="39">
        <f t="shared" si="94"/>
        <v>0.2608695652173913</v>
      </c>
      <c r="AS14" s="39">
        <f t="shared" si="94"/>
        <v>0.16292134831460675</v>
      </c>
      <c r="AT14" s="39">
        <f t="shared" ref="AT14" si="95">AT7/AT5</f>
        <v>0.16</v>
      </c>
      <c r="AU14" s="39">
        <f t="shared" ref="AU14" si="96">AU7/AU5</f>
        <v>0.25</v>
      </c>
      <c r="AV14" s="39">
        <f>AV7/AV5</f>
        <v>0.21739130434782608</v>
      </c>
      <c r="AW14" s="39">
        <f>AW7/AW5</f>
        <v>0.22857142857142856</v>
      </c>
      <c r="AX14" s="39">
        <f>AX7/AX5</f>
        <v>0.21951219512195122</v>
      </c>
      <c r="AY14" s="39">
        <f t="shared" si="94"/>
        <v>0.14354066985645933</v>
      </c>
      <c r="AZ14" s="39">
        <f t="shared" ref="AZ14:BF14" si="97">AZ7/AZ5</f>
        <v>8.3333333333333329E-2</v>
      </c>
      <c r="BA14" s="39">
        <f t="shared" si="97"/>
        <v>0.19047619047619047</v>
      </c>
      <c r="BB14" s="39">
        <f t="shared" si="97"/>
        <v>0.16</v>
      </c>
      <c r="BC14" s="39">
        <f t="shared" si="97"/>
        <v>0.13157894736842105</v>
      </c>
      <c r="BD14" s="39">
        <f t="shared" si="97"/>
        <v>0.15</v>
      </c>
      <c r="BE14" s="39">
        <f t="shared" si="97"/>
        <v>0.13333333333333333</v>
      </c>
      <c r="BF14" s="39">
        <f t="shared" si="97"/>
        <v>0.13333333333333333</v>
      </c>
      <c r="BG14" s="39">
        <f t="shared" ref="BG14:BO14" si="98">BG7/BG5</f>
        <v>0.2019704433497537</v>
      </c>
      <c r="BH14" s="39">
        <f t="shared" si="98"/>
        <v>0.13333333333333333</v>
      </c>
      <c r="BI14" s="39">
        <f t="shared" si="98"/>
        <v>0.17499999999999999</v>
      </c>
      <c r="BJ14" s="39">
        <f t="shared" si="98"/>
        <v>0.22580645161290322</v>
      </c>
      <c r="BK14" s="39">
        <f t="shared" si="98"/>
        <v>0.13043478260869565</v>
      </c>
      <c r="BL14" s="39">
        <f t="shared" si="98"/>
        <v>0.27777777777777779</v>
      </c>
      <c r="BM14" s="39">
        <f t="shared" si="98"/>
        <v>0.19354838709677419</v>
      </c>
      <c r="BN14" s="39">
        <f t="shared" si="98"/>
        <v>0.3</v>
      </c>
      <c r="BO14" s="39">
        <f t="shared" si="98"/>
        <v>0.13625304136253041</v>
      </c>
      <c r="BP14" s="39">
        <f t="shared" ref="BP14:CN14" si="99">BP7/BP5</f>
        <v>0.13829787234042554</v>
      </c>
      <c r="BQ14" s="39">
        <f t="shared" si="99"/>
        <v>0.18518518518518517</v>
      </c>
      <c r="BR14" s="39">
        <f t="shared" si="99"/>
        <v>0.25</v>
      </c>
      <c r="BS14" s="39">
        <f t="shared" si="99"/>
        <v>0.4</v>
      </c>
      <c r="BT14" s="39">
        <f t="shared" si="99"/>
        <v>6.8181818181818177E-2</v>
      </c>
      <c r="BU14" s="39">
        <f t="shared" si="99"/>
        <v>0.12903225806451613</v>
      </c>
      <c r="BV14" s="39">
        <f t="shared" si="99"/>
        <v>0.17391304347826086</v>
      </c>
      <c r="BW14" s="39">
        <f t="shared" si="99"/>
        <v>0</v>
      </c>
      <c r="BX14" s="39">
        <f t="shared" si="99"/>
        <v>0.15384615384615385</v>
      </c>
      <c r="BY14" s="39">
        <f t="shared" ref="BY14:CD14" si="100">BY7/BY5</f>
        <v>0.21739130434782608</v>
      </c>
      <c r="BZ14" s="39">
        <f t="shared" si="100"/>
        <v>0.25</v>
      </c>
      <c r="CA14" s="39" t="e">
        <f t="shared" si="100"/>
        <v>#DIV/0!</v>
      </c>
      <c r="CB14" s="39">
        <f t="shared" si="100"/>
        <v>8.6956521739130432E-2</v>
      </c>
      <c r="CC14" s="39">
        <f t="shared" si="100"/>
        <v>6.6666666666666666E-2</v>
      </c>
      <c r="CD14" s="39">
        <f t="shared" si="100"/>
        <v>0.17391304347826086</v>
      </c>
      <c r="CE14" s="39">
        <f t="shared" ref="CE14" si="101">CE7/CE5</f>
        <v>0.2</v>
      </c>
      <c r="CF14" s="39">
        <f t="shared" si="99"/>
        <v>0.10752688172043011</v>
      </c>
      <c r="CG14" s="39">
        <f t="shared" si="99"/>
        <v>0</v>
      </c>
      <c r="CH14" s="39">
        <f t="shared" ref="CH14:CM14" si="102">CH7/CH5</f>
        <v>8.3333333333333329E-2</v>
      </c>
      <c r="CI14" s="39">
        <f t="shared" si="102"/>
        <v>0.21739130434782608</v>
      </c>
      <c r="CJ14" s="39">
        <f t="shared" si="102"/>
        <v>0.15384615384615385</v>
      </c>
      <c r="CK14" s="39">
        <f t="shared" si="102"/>
        <v>0</v>
      </c>
      <c r="CL14" s="39" t="e">
        <f t="shared" si="102"/>
        <v>#DIV/0!</v>
      </c>
      <c r="CM14" s="39" t="e">
        <f t="shared" si="102"/>
        <v>#DIV/0!</v>
      </c>
      <c r="CN14" s="39" t="e">
        <f t="shared" si="99"/>
        <v>#DIV/0!</v>
      </c>
    </row>
    <row r="15" spans="1:105">
      <c r="A15" s="11" t="s">
        <v>1</v>
      </c>
      <c r="B15" s="14">
        <f t="shared" ref="B15:H15" si="103">B8/B7</f>
        <v>4.716981132075472E-2</v>
      </c>
      <c r="C15" s="14">
        <f t="shared" si="103"/>
        <v>2.6845637583892617E-2</v>
      </c>
      <c r="D15" s="14">
        <f t="shared" si="103"/>
        <v>1.6949152542372881E-2</v>
      </c>
      <c r="E15" s="14">
        <f t="shared" si="103"/>
        <v>4.0816326530612242E-2</v>
      </c>
      <c r="F15" s="14">
        <f t="shared" si="103"/>
        <v>0</v>
      </c>
      <c r="G15" s="14">
        <f t="shared" si="103"/>
        <v>8.6206896551724144E-2</v>
      </c>
      <c r="H15" s="14">
        <f t="shared" si="103"/>
        <v>9.2307692307692313E-2</v>
      </c>
      <c r="I15" s="14">
        <f t="shared" ref="I15" si="104">I8/I7</f>
        <v>4.1666666666666664E-2</v>
      </c>
      <c r="J15" s="14">
        <f t="shared" ref="J15:L15" si="105">J8/J7</f>
        <v>4.1666666666666664E-2</v>
      </c>
      <c r="K15" s="14">
        <f t="shared" si="105"/>
        <v>4.1666666666666664E-2</v>
      </c>
      <c r="L15" s="14">
        <f t="shared" si="105"/>
        <v>1.3333333333333334E-2</v>
      </c>
      <c r="M15" s="14" t="e">
        <f>M8/M7</f>
        <v>#DIV/0!</v>
      </c>
      <c r="N15" s="14" t="e">
        <f t="shared" ref="N15:Q15" si="106">N8/N7</f>
        <v>#DIV/0!</v>
      </c>
      <c r="O15" s="14" t="e">
        <f>O8/O7</f>
        <v>#DIV/0!</v>
      </c>
      <c r="P15" s="14" t="e">
        <f t="shared" ref="P15" si="107">P8/P7</f>
        <v>#DIV/0!</v>
      </c>
      <c r="Q15" s="14">
        <f t="shared" si="106"/>
        <v>3.7383177570093455E-2</v>
      </c>
      <c r="R15" s="14">
        <f t="shared" ref="R15:S15" si="108">R8/R7</f>
        <v>4.5454545454545456E-2</v>
      </c>
      <c r="S15" s="14">
        <f t="shared" si="108"/>
        <v>2.5000000000000001E-2</v>
      </c>
      <c r="T15" s="14">
        <f t="shared" ref="T15:U15" si="109">T8/T7</f>
        <v>0</v>
      </c>
      <c r="U15" s="14">
        <f t="shared" si="109"/>
        <v>0</v>
      </c>
      <c r="V15" s="14">
        <f t="shared" ref="V15:X15" si="110">V8/V7</f>
        <v>0.22222222222222221</v>
      </c>
      <c r="W15" s="14">
        <f t="shared" si="110"/>
        <v>3.2258064516129031E-2</v>
      </c>
      <c r="X15" s="14">
        <f t="shared" si="110"/>
        <v>0</v>
      </c>
      <c r="Y15" s="14">
        <f t="shared" ref="Y15:Z15" si="111">Y8/Y7</f>
        <v>0</v>
      </c>
      <c r="Z15" s="14">
        <f t="shared" si="111"/>
        <v>0</v>
      </c>
      <c r="AA15" s="14">
        <f t="shared" ref="AA15:AC15" si="112">AA8/AA7</f>
        <v>0</v>
      </c>
      <c r="AB15" s="14">
        <f t="shared" si="112"/>
        <v>0.15789473684210525</v>
      </c>
      <c r="AC15" s="14">
        <f t="shared" si="112"/>
        <v>3.8461538461538464E-2</v>
      </c>
      <c r="AD15" s="14">
        <f t="shared" ref="AD15:AF15" si="113">AD8/AD7</f>
        <v>0</v>
      </c>
      <c r="AE15" s="14">
        <f t="shared" si="113"/>
        <v>3.4482758620689655E-2</v>
      </c>
      <c r="AF15" s="14">
        <f t="shared" si="113"/>
        <v>0.08</v>
      </c>
      <c r="AG15" s="14">
        <f t="shared" ref="AG15:AH15" si="114">AG8/AG7</f>
        <v>0</v>
      </c>
      <c r="AH15" s="14">
        <f t="shared" si="114"/>
        <v>0</v>
      </c>
      <c r="AI15" s="14" t="e">
        <f t="shared" ref="AI15" si="115">AI8/AI7</f>
        <v>#DIV/0!</v>
      </c>
      <c r="AJ15" s="14">
        <f>AJ8/AJ7</f>
        <v>5.4054054054054057E-2</v>
      </c>
      <c r="AK15" s="14">
        <f t="shared" ref="AK15:AO15" si="116">AK8/AK7</f>
        <v>3.8461538461538464E-2</v>
      </c>
      <c r="AL15" s="14">
        <f t="shared" si="116"/>
        <v>0</v>
      </c>
      <c r="AM15" s="14">
        <f t="shared" si="116"/>
        <v>0</v>
      </c>
      <c r="AN15" s="14">
        <f t="shared" si="116"/>
        <v>0.25</v>
      </c>
      <c r="AO15" s="14">
        <f t="shared" si="116"/>
        <v>0.125</v>
      </c>
      <c r="AP15" s="14">
        <f t="shared" ref="AP15:AY15" si="117">AP8/AP7</f>
        <v>3.968253968253968E-2</v>
      </c>
      <c r="AQ15" s="14" t="e">
        <f t="shared" si="117"/>
        <v>#DIV/0!</v>
      </c>
      <c r="AR15" s="14">
        <f t="shared" si="117"/>
        <v>0</v>
      </c>
      <c r="AS15" s="14">
        <f t="shared" si="117"/>
        <v>0</v>
      </c>
      <c r="AT15" s="14">
        <f t="shared" ref="AT15" si="118">AT8/AT7</f>
        <v>0</v>
      </c>
      <c r="AU15" s="14">
        <f t="shared" ref="AU15" si="119">AU8/AU7</f>
        <v>0</v>
      </c>
      <c r="AV15" s="14">
        <f>AV8/AV7</f>
        <v>0</v>
      </c>
      <c r="AW15" s="14">
        <f>AW8/AW7</f>
        <v>0</v>
      </c>
      <c r="AX15" s="14">
        <f>AX8/AX7</f>
        <v>0</v>
      </c>
      <c r="AY15" s="14">
        <f t="shared" si="117"/>
        <v>0</v>
      </c>
      <c r="AZ15" s="14">
        <f t="shared" ref="AZ15:BF15" si="120">AZ8/AZ7</f>
        <v>0</v>
      </c>
      <c r="BA15" s="14">
        <f t="shared" si="120"/>
        <v>0</v>
      </c>
      <c r="BB15" s="14">
        <f t="shared" si="120"/>
        <v>0</v>
      </c>
      <c r="BC15" s="14">
        <f t="shared" si="120"/>
        <v>0.2</v>
      </c>
      <c r="BD15" s="14">
        <f t="shared" si="120"/>
        <v>0</v>
      </c>
      <c r="BE15" s="14">
        <f t="shared" si="120"/>
        <v>0</v>
      </c>
      <c r="BF15" s="14">
        <f t="shared" si="120"/>
        <v>0</v>
      </c>
      <c r="BG15" s="14">
        <f t="shared" ref="BG15:BO15" si="121">BG8/BG7</f>
        <v>0</v>
      </c>
      <c r="BH15" s="14">
        <f t="shared" si="121"/>
        <v>0</v>
      </c>
      <c r="BI15" s="14">
        <f t="shared" si="121"/>
        <v>0</v>
      </c>
      <c r="BJ15" s="14">
        <f t="shared" si="121"/>
        <v>0</v>
      </c>
      <c r="BK15" s="14">
        <f t="shared" si="121"/>
        <v>0</v>
      </c>
      <c r="BL15" s="14">
        <f t="shared" si="121"/>
        <v>0</v>
      </c>
      <c r="BM15" s="14">
        <f t="shared" si="121"/>
        <v>0</v>
      </c>
      <c r="BN15" s="14">
        <f t="shared" si="121"/>
        <v>0</v>
      </c>
      <c r="BO15" s="14">
        <f t="shared" si="121"/>
        <v>0</v>
      </c>
      <c r="BP15" s="14">
        <f t="shared" ref="BP15:CN15" si="122">BP8/BP7</f>
        <v>0</v>
      </c>
      <c r="BQ15" s="14">
        <f t="shared" si="122"/>
        <v>0</v>
      </c>
      <c r="BR15" s="14">
        <f t="shared" si="122"/>
        <v>0</v>
      </c>
      <c r="BS15" s="14">
        <f t="shared" si="122"/>
        <v>0</v>
      </c>
      <c r="BT15" s="14">
        <f t="shared" si="122"/>
        <v>0</v>
      </c>
      <c r="BU15" s="14">
        <f t="shared" si="122"/>
        <v>0</v>
      </c>
      <c r="BV15" s="14">
        <f t="shared" si="122"/>
        <v>0</v>
      </c>
      <c r="BW15" s="14" t="e">
        <f t="shared" si="122"/>
        <v>#DIV/0!</v>
      </c>
      <c r="BX15" s="14">
        <f t="shared" si="122"/>
        <v>0</v>
      </c>
      <c r="BY15" s="14">
        <f t="shared" ref="BY15:CD15" si="123">BY8/BY7</f>
        <v>0</v>
      </c>
      <c r="BZ15" s="14">
        <f t="shared" si="123"/>
        <v>0</v>
      </c>
      <c r="CA15" s="14" t="e">
        <f t="shared" si="123"/>
        <v>#DIV/0!</v>
      </c>
      <c r="CB15" s="14">
        <f t="shared" si="123"/>
        <v>0</v>
      </c>
      <c r="CC15" s="14">
        <f t="shared" si="123"/>
        <v>0</v>
      </c>
      <c r="CD15" s="14">
        <f t="shared" si="123"/>
        <v>0</v>
      </c>
      <c r="CE15" s="14">
        <f t="shared" ref="CE15" si="124">CE8/CE7</f>
        <v>0</v>
      </c>
      <c r="CF15" s="14">
        <f t="shared" si="122"/>
        <v>0</v>
      </c>
      <c r="CG15" s="14" t="e">
        <f t="shared" si="122"/>
        <v>#DIV/0!</v>
      </c>
      <c r="CH15" s="14">
        <f t="shared" ref="CH15:CM15" si="125">CH8/CH7</f>
        <v>0</v>
      </c>
      <c r="CI15" s="14">
        <f t="shared" si="125"/>
        <v>0</v>
      </c>
      <c r="CJ15" s="14">
        <f t="shared" si="125"/>
        <v>0</v>
      </c>
      <c r="CK15" s="14" t="e">
        <f t="shared" si="125"/>
        <v>#DIV/0!</v>
      </c>
      <c r="CL15" s="14" t="e">
        <f t="shared" si="125"/>
        <v>#DIV/0!</v>
      </c>
      <c r="CM15" s="14" t="e">
        <f t="shared" si="125"/>
        <v>#DIV/0!</v>
      </c>
      <c r="CN15" s="14" t="e">
        <f t="shared" si="122"/>
        <v>#DIV/0!</v>
      </c>
    </row>
    <row r="16" spans="1:105">
      <c r="A16" s="11" t="s">
        <v>3</v>
      </c>
      <c r="B16" s="3">
        <v>20</v>
      </c>
      <c r="C16" s="3">
        <v>16.239999999999998</v>
      </c>
      <c r="D16" s="3">
        <v>16.350000000000001</v>
      </c>
      <c r="E16" s="3">
        <v>16.489999999999998</v>
      </c>
      <c r="F16" s="7">
        <v>16.28</v>
      </c>
      <c r="G16" s="7">
        <v>15.52</v>
      </c>
      <c r="H16" s="8">
        <v>15.34</v>
      </c>
      <c r="I16" s="8">
        <v>12.41</v>
      </c>
      <c r="J16" s="8">
        <v>13.41</v>
      </c>
      <c r="K16" s="8">
        <v>14.41</v>
      </c>
      <c r="L16" s="8">
        <v>8.89</v>
      </c>
      <c r="M16" s="8">
        <v>0</v>
      </c>
      <c r="N16" s="8">
        <v>0</v>
      </c>
      <c r="O16" s="8">
        <v>0</v>
      </c>
      <c r="P16" s="8">
        <v>0</v>
      </c>
      <c r="Q16" s="8">
        <v>6.83</v>
      </c>
      <c r="R16" s="8">
        <v>5.75</v>
      </c>
      <c r="S16" s="8">
        <v>6.67</v>
      </c>
      <c r="T16" s="8">
        <v>8.3000000000000007</v>
      </c>
      <c r="U16" s="8">
        <v>6.49</v>
      </c>
      <c r="V16" s="8">
        <v>7.59</v>
      </c>
      <c r="W16" s="8">
        <v>6.75</v>
      </c>
      <c r="X16" s="8">
        <v>6.88</v>
      </c>
      <c r="Y16" s="8">
        <v>8.0500000000000007</v>
      </c>
      <c r="Z16" s="8">
        <v>7.4</v>
      </c>
      <c r="AA16" s="8">
        <v>5.31</v>
      </c>
      <c r="AB16" s="8">
        <v>6.2</v>
      </c>
      <c r="AC16" s="8">
        <v>6.43</v>
      </c>
      <c r="AD16" s="8">
        <v>8.39</v>
      </c>
      <c r="AE16" s="8">
        <v>6.55</v>
      </c>
      <c r="AF16" s="8">
        <v>6.45</v>
      </c>
      <c r="AG16" s="8">
        <v>6.44</v>
      </c>
      <c r="AH16" s="8">
        <v>7.91</v>
      </c>
      <c r="AI16" s="8">
        <v>10.33</v>
      </c>
      <c r="AJ16" s="8">
        <v>7.9</v>
      </c>
      <c r="AK16" s="8">
        <v>7.04</v>
      </c>
      <c r="AL16" s="8">
        <v>6.7</v>
      </c>
      <c r="AM16" s="8">
        <v>8.2899999999999991</v>
      </c>
      <c r="AN16" s="8">
        <v>10.01</v>
      </c>
      <c r="AO16" s="8">
        <v>8.24</v>
      </c>
      <c r="AP16" s="8">
        <v>6.77</v>
      </c>
      <c r="AQ16" s="8">
        <v>10.92</v>
      </c>
      <c r="AR16" s="8">
        <v>9.19</v>
      </c>
      <c r="AS16" s="8">
        <v>6.66</v>
      </c>
      <c r="AT16" s="8">
        <v>8.1999999999999993</v>
      </c>
      <c r="AU16" s="8">
        <v>5.83</v>
      </c>
      <c r="AV16" s="8">
        <v>6.79</v>
      </c>
      <c r="AW16" s="8">
        <v>4.91</v>
      </c>
      <c r="AX16" s="8">
        <v>4.0599999999999996</v>
      </c>
      <c r="AY16" s="8"/>
      <c r="AZ16" s="8">
        <v>7.44</v>
      </c>
      <c r="BA16" s="8">
        <v>4.2300000000000004</v>
      </c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>
        <v>9.7200000000000006</v>
      </c>
      <c r="BP16" s="8">
        <v>0</v>
      </c>
      <c r="BQ16" s="8">
        <v>11.72</v>
      </c>
      <c r="BR16" s="8">
        <v>12.72</v>
      </c>
      <c r="BS16" s="8">
        <v>13.72</v>
      </c>
      <c r="BT16" s="8">
        <v>14.72</v>
      </c>
      <c r="BU16" s="8">
        <v>15.72</v>
      </c>
      <c r="BV16" s="8">
        <v>16.72</v>
      </c>
      <c r="BW16" s="8">
        <v>17.72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4.8099999999999996</v>
      </c>
      <c r="CH16" s="8">
        <v>6.58</v>
      </c>
      <c r="CI16" s="8">
        <v>3.71</v>
      </c>
      <c r="CJ16" s="8">
        <v>3.35</v>
      </c>
      <c r="CK16" s="8"/>
      <c r="CL16" s="8"/>
      <c r="CM16" s="8"/>
      <c r="CN16" s="8"/>
    </row>
    <row r="17" spans="1:92">
      <c r="A17" s="11" t="s">
        <v>4</v>
      </c>
      <c r="B17" s="8">
        <v>10200</v>
      </c>
      <c r="C17" s="8">
        <v>10229</v>
      </c>
      <c r="D17" s="8">
        <v>9137</v>
      </c>
      <c r="E17" s="8">
        <v>9260</v>
      </c>
      <c r="F17" s="9">
        <v>9394</v>
      </c>
      <c r="G17" s="7">
        <v>9589</v>
      </c>
      <c r="H17" s="8">
        <f>H5*H16</f>
        <v>7884.76</v>
      </c>
      <c r="I17" s="8">
        <f>I5*I16</f>
        <v>6974.42</v>
      </c>
      <c r="J17" s="8">
        <f t="shared" ref="J17:L17" si="126">J5*J16</f>
        <v>6745.2300000000005</v>
      </c>
      <c r="K17" s="8">
        <f t="shared" si="126"/>
        <v>7248.2300000000005</v>
      </c>
      <c r="L17" s="35">
        <f t="shared" si="126"/>
        <v>10445.75</v>
      </c>
      <c r="M17" s="8">
        <f t="shared" ref="M17" si="127">M5*M16</f>
        <v>0</v>
      </c>
      <c r="N17" s="8">
        <f t="shared" ref="N17:Q17" si="128">N5*N16</f>
        <v>0</v>
      </c>
      <c r="O17" s="8">
        <f t="shared" si="128"/>
        <v>0</v>
      </c>
      <c r="P17" s="8">
        <f t="shared" ref="P17" si="129">P5*P16</f>
        <v>0</v>
      </c>
      <c r="Q17" s="8">
        <f t="shared" si="128"/>
        <v>8906.32</v>
      </c>
      <c r="R17" s="8">
        <f t="shared" ref="R17:S17" si="130">R5*R16</f>
        <v>1868.75</v>
      </c>
      <c r="S17" s="8">
        <f t="shared" si="130"/>
        <v>1814.24</v>
      </c>
      <c r="T17" s="8">
        <f t="shared" ref="T17:U17" si="131">T5*T16</f>
        <v>2141.4</v>
      </c>
      <c r="U17" s="8">
        <f t="shared" si="131"/>
        <v>2135.21</v>
      </c>
      <c r="V17" s="8">
        <f t="shared" ref="V17:X17" si="132">V5*V16</f>
        <v>910.8</v>
      </c>
      <c r="W17" s="8">
        <f t="shared" si="132"/>
        <v>8201.25</v>
      </c>
      <c r="X17" s="8">
        <f t="shared" si="132"/>
        <v>1204</v>
      </c>
      <c r="Y17" s="8">
        <f t="shared" ref="Y17:Z17" si="133">Y5*Y16</f>
        <v>2149.3500000000004</v>
      </c>
      <c r="Z17" s="8">
        <f t="shared" si="133"/>
        <v>1591</v>
      </c>
      <c r="AA17" s="8">
        <f t="shared" ref="AA17:AC17" si="134">AA5*AA16</f>
        <v>1699.1999999999998</v>
      </c>
      <c r="AB17" s="8">
        <f t="shared" si="134"/>
        <v>1004.4</v>
      </c>
      <c r="AC17" s="38">
        <f t="shared" si="134"/>
        <v>4668.1799999999994</v>
      </c>
      <c r="AD17" s="8">
        <f t="shared" ref="AD17:AF17" si="135">AD5*AD16</f>
        <v>167.8</v>
      </c>
      <c r="AE17" s="8">
        <f t="shared" si="135"/>
        <v>1179</v>
      </c>
      <c r="AF17" s="8">
        <f t="shared" si="135"/>
        <v>1154.55</v>
      </c>
      <c r="AG17" s="8">
        <f t="shared" ref="AG17:AH17" si="136">AG5*AG16</f>
        <v>1165.6400000000001</v>
      </c>
      <c r="AH17" s="8">
        <f t="shared" si="136"/>
        <v>1170.68</v>
      </c>
      <c r="AI17" s="8">
        <f t="shared" ref="AI17" si="137">AI5*AI16</f>
        <v>185.94</v>
      </c>
      <c r="AJ17" s="8">
        <f t="shared" ref="AJ17:AO17" si="138">AJ5*AJ16</f>
        <v>4676.8</v>
      </c>
      <c r="AK17" s="8">
        <f t="shared" si="138"/>
        <v>978.56000000000006</v>
      </c>
      <c r="AL17" s="8">
        <f t="shared" si="138"/>
        <v>1139</v>
      </c>
      <c r="AM17" s="8">
        <f t="shared" si="138"/>
        <v>1160.5999999999999</v>
      </c>
      <c r="AN17" s="8">
        <f t="shared" si="138"/>
        <v>1151.1499999999999</v>
      </c>
      <c r="AO17" s="8">
        <f t="shared" si="138"/>
        <v>642.72</v>
      </c>
      <c r="AP17" s="8">
        <f t="shared" ref="AP17:AY17" si="139">AP5*AP16</f>
        <v>5084.2699999999995</v>
      </c>
      <c r="AQ17" s="8">
        <f t="shared" si="139"/>
        <v>338.52</v>
      </c>
      <c r="AR17" s="8">
        <f t="shared" si="139"/>
        <v>845.4799999999999</v>
      </c>
      <c r="AS17" s="8">
        <f t="shared" si="139"/>
        <v>1185.48</v>
      </c>
      <c r="AT17" s="8">
        <f t="shared" ref="AT17" si="140">AT5*AT16</f>
        <v>204.99999999999997</v>
      </c>
      <c r="AU17" s="8">
        <f t="shared" ref="AU17" si="141">AU5*AU16</f>
        <v>163.24</v>
      </c>
      <c r="AV17" s="8">
        <f>AV5*AV16</f>
        <v>156.16999999999999</v>
      </c>
      <c r="AW17" s="8">
        <f>AW5*AW16</f>
        <v>171.85</v>
      </c>
      <c r="AX17" s="8">
        <f>AX5*AX16</f>
        <v>166.45999999999998</v>
      </c>
      <c r="AY17" s="8">
        <f t="shared" si="139"/>
        <v>0</v>
      </c>
      <c r="AZ17" s="8">
        <f>AZ5*AZ16</f>
        <v>178.56</v>
      </c>
      <c r="BA17" s="8">
        <f t="shared" ref="BA17" si="142">BA5*BA16</f>
        <v>177.66000000000003</v>
      </c>
      <c r="BB17" s="8">
        <f t="shared" ref="BB17:BO17" si="143">BB5*BB16</f>
        <v>0</v>
      </c>
      <c r="BC17" s="8">
        <f t="shared" ref="BC17:BF17" si="144">BC5*BC16</f>
        <v>0</v>
      </c>
      <c r="BD17" s="8">
        <f t="shared" si="144"/>
        <v>0</v>
      </c>
      <c r="BE17" s="8">
        <f t="shared" si="144"/>
        <v>0</v>
      </c>
      <c r="BF17" s="8">
        <f t="shared" si="144"/>
        <v>0</v>
      </c>
      <c r="BG17" s="8">
        <f t="shared" si="143"/>
        <v>0</v>
      </c>
      <c r="BH17" s="8">
        <f t="shared" si="143"/>
        <v>0</v>
      </c>
      <c r="BI17" s="8">
        <f t="shared" si="143"/>
        <v>0</v>
      </c>
      <c r="BJ17" s="8">
        <f t="shared" si="143"/>
        <v>0</v>
      </c>
      <c r="BK17" s="8">
        <f t="shared" si="143"/>
        <v>0</v>
      </c>
      <c r="BL17" s="8">
        <f t="shared" si="143"/>
        <v>0</v>
      </c>
      <c r="BM17" s="8">
        <f t="shared" si="143"/>
        <v>0</v>
      </c>
      <c r="BN17" s="8">
        <f t="shared" si="143"/>
        <v>0</v>
      </c>
      <c r="BO17" s="8">
        <f t="shared" si="143"/>
        <v>3994.92</v>
      </c>
      <c r="BP17" s="8">
        <v>0</v>
      </c>
      <c r="BQ17" s="8">
        <f t="shared" ref="BQ17:BW17" si="145">BQ5*BQ16</f>
        <v>316.44</v>
      </c>
      <c r="BR17" s="8">
        <f t="shared" si="145"/>
        <v>305.28000000000003</v>
      </c>
      <c r="BS17" s="8">
        <f t="shared" si="145"/>
        <v>137.20000000000002</v>
      </c>
      <c r="BT17" s="8">
        <f t="shared" si="145"/>
        <v>647.68000000000006</v>
      </c>
      <c r="BU17" s="8">
        <f t="shared" si="145"/>
        <v>487.32</v>
      </c>
      <c r="BV17" s="8">
        <f t="shared" si="145"/>
        <v>384.55999999999995</v>
      </c>
      <c r="BW17" s="8">
        <f t="shared" si="145"/>
        <v>513.88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/>
      <c r="CH17" s="8"/>
      <c r="CI17" s="8"/>
      <c r="CJ17" s="8"/>
      <c r="CK17" s="8"/>
      <c r="CL17" s="8"/>
      <c r="CM17" s="8"/>
      <c r="CN17" s="8"/>
    </row>
    <row r="19" spans="1:92">
      <c r="AJ19" s="41">
        <f>AJ8/AJ5</f>
        <v>1.0135135135135136E-2</v>
      </c>
    </row>
    <row r="20" spans="1:92">
      <c r="A20" s="15" t="s">
        <v>10</v>
      </c>
      <c r="B20" s="15">
        <v>147</v>
      </c>
      <c r="C20" s="15">
        <v>198</v>
      </c>
      <c r="D20" s="15">
        <v>79</v>
      </c>
      <c r="E20" s="15">
        <v>78</v>
      </c>
      <c r="F20" s="15">
        <v>101</v>
      </c>
      <c r="G20" s="15">
        <v>94</v>
      </c>
      <c r="H20" s="15">
        <v>82</v>
      </c>
      <c r="J20" s="2"/>
      <c r="K20" s="2"/>
      <c r="L20" s="2"/>
    </row>
  </sheetData>
  <mergeCells count="2">
    <mergeCell ref="F1:G1"/>
    <mergeCell ref="A1:A2"/>
  </mergeCells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  <ignoredErrors>
    <ignoredError sqref="B14:I14 F11:F12 R14 W14 J14:K14 X14:Y14 AC14 AJ14 AP14" formula="1"/>
    <ignoredError sqref="M1 AC9" formulaRange="1"/>
    <ignoredError sqref="L14:M14 Q14 Z14:AB14" evalError="1" formula="1"/>
    <ignoredError sqref="L13:Q13 L15:Q15 N14:P14 Z13:AB13 Z15:AB15 AP13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45369-093E-4C11-8EBF-0E21D8A8C036}">
  <sheetPr>
    <tabColor theme="0" tint="-0.249977111117893"/>
  </sheetPr>
  <dimension ref="A1:I7"/>
  <sheetViews>
    <sheetView showGridLines="0" workbookViewId="0">
      <selection activeCell="C22" sqref="C22"/>
    </sheetView>
  </sheetViews>
  <sheetFormatPr defaultRowHeight="15.75"/>
  <cols>
    <col min="1" max="1" width="35.125" style="21" bestFit="1" customWidth="1"/>
    <col min="2" max="2" width="25.25" style="21" customWidth="1"/>
    <col min="3" max="3" width="16.375" style="21" bestFit="1" customWidth="1"/>
    <col min="4" max="4" width="15.125" style="21" customWidth="1"/>
    <col min="5" max="5" width="15" style="21" customWidth="1"/>
    <col min="6" max="6" width="28.375" style="21" customWidth="1"/>
    <col min="7" max="7" width="24.625" style="21" customWidth="1"/>
    <col min="8" max="8" width="12.75" style="21" customWidth="1"/>
    <col min="9" max="9" width="16" style="21" bestFit="1" customWidth="1"/>
    <col min="10" max="16384" width="9" style="21"/>
  </cols>
  <sheetData>
    <row r="1" spans="1:9">
      <c r="A1" s="18" t="s">
        <v>70</v>
      </c>
      <c r="B1" s="18" t="s">
        <v>71</v>
      </c>
      <c r="C1" s="18" t="s">
        <v>72</v>
      </c>
      <c r="D1" s="19" t="s">
        <v>73</v>
      </c>
      <c r="E1" s="20" t="s">
        <v>74</v>
      </c>
      <c r="F1" s="18" t="s">
        <v>75</v>
      </c>
      <c r="G1" s="18" t="s">
        <v>76</v>
      </c>
      <c r="H1" s="18" t="s">
        <v>77</v>
      </c>
      <c r="I1" s="18" t="s">
        <v>78</v>
      </c>
    </row>
    <row r="2" spans="1:9">
      <c r="A2" s="21" t="s">
        <v>58</v>
      </c>
      <c r="B2" s="21" t="s">
        <v>59</v>
      </c>
      <c r="C2" s="21" t="s">
        <v>60</v>
      </c>
      <c r="D2" s="22">
        <v>9482.4699999999993</v>
      </c>
      <c r="E2" s="23">
        <v>45996</v>
      </c>
      <c r="F2" s="21" t="s">
        <v>61</v>
      </c>
      <c r="G2" s="21" t="s">
        <v>62</v>
      </c>
      <c r="H2" s="24" t="s">
        <v>81</v>
      </c>
      <c r="I2" s="24" t="s">
        <v>80</v>
      </c>
    </row>
    <row r="3" spans="1:9">
      <c r="A3" s="21" t="s">
        <v>63</v>
      </c>
      <c r="B3" s="21" t="s">
        <v>64</v>
      </c>
      <c r="C3" s="21" t="s">
        <v>65</v>
      </c>
      <c r="D3" s="22">
        <v>17223.830000000002</v>
      </c>
      <c r="E3" s="23">
        <v>46015</v>
      </c>
      <c r="F3" s="21" t="s">
        <v>61</v>
      </c>
      <c r="G3" s="21" t="s">
        <v>62</v>
      </c>
      <c r="H3" s="24" t="s">
        <v>79</v>
      </c>
      <c r="I3" s="24" t="s">
        <v>80</v>
      </c>
    </row>
    <row r="4" spans="1:9">
      <c r="A4" s="21" t="s">
        <v>66</v>
      </c>
      <c r="B4" s="21" t="s">
        <v>59</v>
      </c>
      <c r="C4" s="21" t="s">
        <v>65</v>
      </c>
      <c r="D4" s="22">
        <v>8197.92</v>
      </c>
      <c r="E4" s="23">
        <v>46015</v>
      </c>
      <c r="F4" s="21" t="s">
        <v>61</v>
      </c>
      <c r="G4" s="21" t="s">
        <v>62</v>
      </c>
      <c r="H4" s="24" t="s">
        <v>81</v>
      </c>
      <c r="I4" s="24" t="s">
        <v>82</v>
      </c>
    </row>
    <row r="5" spans="1:9">
      <c r="A5" s="21" t="s">
        <v>67</v>
      </c>
      <c r="B5" s="21" t="s">
        <v>59</v>
      </c>
      <c r="C5" s="21" t="s">
        <v>65</v>
      </c>
      <c r="D5" s="22">
        <v>15838.32</v>
      </c>
      <c r="E5" s="23">
        <v>46015</v>
      </c>
      <c r="F5" s="21" t="s">
        <v>61</v>
      </c>
      <c r="G5" s="21" t="s">
        <v>62</v>
      </c>
      <c r="H5" s="24" t="s">
        <v>79</v>
      </c>
      <c r="I5" s="24" t="s">
        <v>82</v>
      </c>
    </row>
    <row r="6" spans="1:9">
      <c r="A6" s="21" t="s">
        <v>68</v>
      </c>
      <c r="B6" s="21" t="s">
        <v>59</v>
      </c>
      <c r="C6" s="21" t="s">
        <v>60</v>
      </c>
      <c r="D6" s="22">
        <v>16500</v>
      </c>
      <c r="E6" s="23">
        <v>46021</v>
      </c>
      <c r="F6" s="21" t="s">
        <v>61</v>
      </c>
      <c r="G6" s="21" t="s">
        <v>62</v>
      </c>
      <c r="H6" s="24" t="s">
        <v>81</v>
      </c>
      <c r="I6" s="24" t="s">
        <v>80</v>
      </c>
    </row>
    <row r="7" spans="1:9">
      <c r="A7" s="21" t="s">
        <v>69</v>
      </c>
      <c r="B7" s="21" t="s">
        <v>59</v>
      </c>
      <c r="C7" s="21" t="s">
        <v>65</v>
      </c>
      <c r="D7" s="22">
        <v>26974.2</v>
      </c>
      <c r="E7" s="23">
        <v>46021</v>
      </c>
      <c r="F7" s="24" t="s">
        <v>61</v>
      </c>
      <c r="G7" s="24" t="s">
        <v>83</v>
      </c>
      <c r="H7" s="24" t="s">
        <v>81</v>
      </c>
      <c r="I7" s="24" t="s">
        <v>82</v>
      </c>
    </row>
  </sheetData>
  <phoneticPr fontId="7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METAS 2026</vt:lpstr>
      <vt:lpstr>SDR</vt:lpstr>
      <vt:lpstr>DEZ.2025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Alberto Silveira Filho</dc:creator>
  <cp:lastModifiedBy>Efraim Sombra</cp:lastModifiedBy>
  <dcterms:created xsi:type="dcterms:W3CDTF">2025-03-18T12:38:46Z</dcterms:created>
  <dcterms:modified xsi:type="dcterms:W3CDTF">2026-02-20T16:12:28Z</dcterms:modified>
</cp:coreProperties>
</file>